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f80b6a60c18d591/Escritorio/MI PAGINA/"/>
    </mc:Choice>
  </mc:AlternateContent>
  <xr:revisionPtr revIDLastSave="0" documentId="8_{91F479CE-2330-4EF6-B2B6-0EA995335BF0}" xr6:coauthVersionLast="47" xr6:coauthVersionMax="47" xr10:uidLastSave="{00000000-0000-0000-0000-000000000000}"/>
  <bookViews>
    <workbookView xWindow="1812" yWindow="1812" windowWidth="17280" windowHeight="8880" activeTab="2" xr2:uid="{00000000-000D-0000-FFFF-FFFF00000000}"/>
  </bookViews>
  <sheets>
    <sheet name="MENU" sheetId="8" r:id="rId1"/>
    <sheet name="SOLICITUDES" sheetId="11" r:id="rId2"/>
    <sheet name="CLIENTES" sheetId="2" r:id="rId3"/>
    <sheet name="LISTAS" sheetId="4" state="veryHidden" r:id="rId4"/>
    <sheet name="INDUCCION" sheetId="13" r:id="rId5"/>
    <sheet name="PREVENTIVO" sheetId="1" r:id="rId6"/>
    <sheet name="EMPLEADOS" sheetId="9" r:id="rId7"/>
    <sheet name="FACTURA" sheetId="14" r:id="rId8"/>
  </sheets>
  <definedNames>
    <definedName name="_xlnm.Print_Area" localSheetId="7">FACTURA!$E$1:$K$20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1" l="1"/>
  <c r="B21" i="13"/>
  <c r="B20" i="13"/>
  <c r="B19" i="13"/>
  <c r="B18" i="13"/>
  <c r="B17" i="13"/>
  <c r="K5" i="1"/>
  <c r="K8" i="1" s="1"/>
  <c r="K6" i="1"/>
  <c r="K7" i="1"/>
  <c r="L16" i="13"/>
  <c r="L17" i="13"/>
  <c r="L15" i="13"/>
  <c r="G17" i="13"/>
  <c r="G16" i="13"/>
  <c r="G15" i="13"/>
  <c r="C28" i="1"/>
  <c r="L18" i="13" l="1"/>
  <c r="H28" i="1"/>
  <c r="B3" i="1"/>
  <c r="B2" i="1"/>
  <c r="G4" i="1" s="1"/>
  <c r="M17" i="1"/>
  <c r="H14" i="1"/>
  <c r="I30" i="1" l="1"/>
  <c r="D30" i="1"/>
</calcChain>
</file>

<file path=xl/sharedStrings.xml><?xml version="1.0" encoding="utf-8"?>
<sst xmlns="http://schemas.openxmlformats.org/spreadsheetml/2006/main" count="232" uniqueCount="171">
  <si>
    <t>CLIENTES</t>
  </si>
  <si>
    <t>Nombre</t>
  </si>
  <si>
    <t>Cedula</t>
  </si>
  <si>
    <t>Celular</t>
  </si>
  <si>
    <t>Gmail</t>
  </si>
  <si>
    <t xml:space="preserve">Direccion </t>
  </si>
  <si>
    <t>Ciudad</t>
  </si>
  <si>
    <t>CPU</t>
  </si>
  <si>
    <t>BOARD</t>
  </si>
  <si>
    <t xml:space="preserve"> RAM</t>
  </si>
  <si>
    <t>HDD</t>
  </si>
  <si>
    <t>SSD</t>
  </si>
  <si>
    <t>PSU</t>
  </si>
  <si>
    <t>GPU</t>
  </si>
  <si>
    <t>CHASIS</t>
  </si>
  <si>
    <t>CD/DVD</t>
  </si>
  <si>
    <t>USB</t>
  </si>
  <si>
    <t>MONITOR</t>
  </si>
  <si>
    <t>TECLADO</t>
  </si>
  <si>
    <t>PARLANTES</t>
  </si>
  <si>
    <t>MMICROFONO</t>
  </si>
  <si>
    <t>TARJETA DE RED  ALAMBRICA</t>
  </si>
  <si>
    <t>TARJETA DE RED INALAMBRICA</t>
  </si>
  <si>
    <t>MOUSE</t>
  </si>
  <si>
    <t>SOFTWARE</t>
  </si>
  <si>
    <t>Google Chrome</t>
  </si>
  <si>
    <t>PREVENTIVO</t>
  </si>
  <si>
    <t>CORRECTIVO</t>
  </si>
  <si>
    <t>N. Ticket</t>
  </si>
  <si>
    <t>INDUCCION</t>
  </si>
  <si>
    <t>N. TICKET</t>
  </si>
  <si>
    <t>NOMBRE</t>
  </si>
  <si>
    <t>CARGO</t>
  </si>
  <si>
    <t>REFERENCIA</t>
  </si>
  <si>
    <t>TELÉFONO</t>
  </si>
  <si>
    <t>GMAIL</t>
  </si>
  <si>
    <t>DIRECCIÓN</t>
  </si>
  <si>
    <t>Calle 12 #45-23</t>
  </si>
  <si>
    <t>Técnico</t>
  </si>
  <si>
    <t>Categoría</t>
  </si>
  <si>
    <t>Instalación de software</t>
  </si>
  <si>
    <t>Actualización de software</t>
  </si>
  <si>
    <t>Mantenimiento preventivo</t>
  </si>
  <si>
    <t>Respaldo y recuperación de datos</t>
  </si>
  <si>
    <t>Configuración de redes</t>
  </si>
  <si>
    <t>Ensamblaje de equipos</t>
  </si>
  <si>
    <t>Reparación de componentes</t>
  </si>
  <si>
    <t>Instalación de periféricos</t>
  </si>
  <si>
    <t>Diagnóstico de fallas</t>
  </si>
  <si>
    <t>Precio</t>
  </si>
  <si>
    <t>SERVICIO</t>
  </si>
  <si>
    <t>CLIENTE</t>
  </si>
  <si>
    <t>CEDULA</t>
  </si>
  <si>
    <t>TELEFONO</t>
  </si>
  <si>
    <t xml:space="preserve">DIRECCION </t>
  </si>
  <si>
    <t>CIUDAD</t>
  </si>
  <si>
    <t>SOLICITUD</t>
  </si>
  <si>
    <t xml:space="preserve">TIEMPO ESTIMADO </t>
  </si>
  <si>
    <t xml:space="preserve">FECHA DE ENTREGA </t>
  </si>
  <si>
    <t>ESTADO ACTUAL
DE SOLICITUD</t>
  </si>
  <si>
    <t>DIRECCION</t>
  </si>
  <si>
    <t>EDWARD</t>
  </si>
  <si>
    <t>EDWARD55RINCON@GMAIL.COM</t>
  </si>
  <si>
    <t>CRA11D 54-13</t>
  </si>
  <si>
    <t>SOGAMOSO</t>
  </si>
  <si>
    <t>EDILBERTO</t>
  </si>
  <si>
    <t>EDILBERTOMARQUEZ98@GMAIL.COM</t>
  </si>
  <si>
    <t>CR 55 CLL10</t>
  </si>
  <si>
    <t>FECHA DE ENTREGA</t>
  </si>
  <si>
    <t>MANTENIMIENTO</t>
  </si>
  <si>
    <t>TIPO DE PC</t>
  </si>
  <si>
    <t>COSTO</t>
  </si>
  <si>
    <t>UTILIDAD</t>
  </si>
  <si>
    <t>MANO DE OBRA</t>
  </si>
  <si>
    <t>PORTATIL</t>
  </si>
  <si>
    <t>ESCRITORIO</t>
  </si>
  <si>
    <t>TODO EN UNO</t>
  </si>
  <si>
    <t>SISTEMA OPERATIVO</t>
  </si>
  <si>
    <t>PAQUETE OFFICE</t>
  </si>
  <si>
    <t>PRECIO POR UNIDAD</t>
  </si>
  <si>
    <t>TOTAL</t>
  </si>
  <si>
    <t xml:space="preserve"> Windows 7</t>
  </si>
  <si>
    <t>Windows 8</t>
  </si>
  <si>
    <t xml:space="preserve"> Windows 8.1</t>
  </si>
  <si>
    <t>Windows 11 2021</t>
  </si>
  <si>
    <t xml:space="preserve"> Windows 10 home</t>
  </si>
  <si>
    <t xml:space="preserve"> Windows 10 PRO</t>
  </si>
  <si>
    <t>Windows XP</t>
  </si>
  <si>
    <t>WIN RAR</t>
  </si>
  <si>
    <t>7 ZIP</t>
  </si>
  <si>
    <t>GOOGLE CHROME</t>
  </si>
  <si>
    <t>MOZILLA FIREFOX</t>
  </si>
  <si>
    <t>MICROSOFT EDGE</t>
  </si>
  <si>
    <t>OFFICE 2007</t>
  </si>
  <si>
    <t>OFFICE 2008</t>
  </si>
  <si>
    <t>OFFICE 2010</t>
  </si>
  <si>
    <t>OFFICE 2013</t>
  </si>
  <si>
    <t>OFFICE 2016</t>
  </si>
  <si>
    <t>OFFICE 2021</t>
  </si>
  <si>
    <t>AUDIO</t>
  </si>
  <si>
    <t>ALMACENAMIENTO</t>
  </si>
  <si>
    <t>WIFI</t>
  </si>
  <si>
    <t>PIEZA</t>
  </si>
  <si>
    <t>7-ZIP</t>
  </si>
  <si>
    <t>BLUETOOTH</t>
  </si>
  <si>
    <t>CHIPSETH</t>
  </si>
  <si>
    <t>ETHERNETH</t>
  </si>
  <si>
    <t>FIREFOX</t>
  </si>
  <si>
    <t>BRAVE</t>
  </si>
  <si>
    <t>OPERA</t>
  </si>
  <si>
    <t>ADOVE READER</t>
  </si>
  <si>
    <t>WINRAR</t>
  </si>
  <si>
    <t>MALWEREBYTES</t>
  </si>
  <si>
    <t>CONTROLADORES</t>
  </si>
  <si>
    <t>CODIGO PC</t>
  </si>
  <si>
    <t>NOMBRE DEL EQUIPO</t>
  </si>
  <si>
    <t>HORA</t>
  </si>
  <si>
    <t>FECHA</t>
  </si>
  <si>
    <t>CELULAR</t>
  </si>
  <si>
    <t>OFFICE 2019</t>
  </si>
  <si>
    <t>DIAS DE ENTREGA</t>
  </si>
  <si>
    <t>ESTUDIO</t>
  </si>
  <si>
    <t>TRABAJO</t>
  </si>
  <si>
    <t>HOGAR</t>
  </si>
  <si>
    <t>EMPLEADO</t>
  </si>
  <si>
    <t>ESTADO</t>
  </si>
  <si>
    <t>BIENVENIDOS</t>
  </si>
  <si>
    <t>MANEJO BASICO DE ACCESS</t>
  </si>
  <si>
    <t>MANEJO BASICO DE EXCEL</t>
  </si>
  <si>
    <t>MANEJO BASICO DE UN PC</t>
  </si>
  <si>
    <t xml:space="preserve">INDUCCION </t>
  </si>
  <si>
    <t>HORAS</t>
  </si>
  <si>
    <t>PRECIO</t>
  </si>
  <si>
    <t>EDWAARD</t>
  </si>
  <si>
    <t>@DD</t>
  </si>
  <si>
    <t>DDD</t>
  </si>
  <si>
    <t>DDDD</t>
  </si>
  <si>
    <t>@</t>
  </si>
  <si>
    <t>SOSOSO</t>
  </si>
  <si>
    <t>EDILBERTO MARQUEZ</t>
  </si>
  <si>
    <t>CR 12 CLL 20</t>
  </si>
  <si>
    <t>SOGAMOSOSO</t>
  </si>
  <si>
    <t>EDWARD COLEN</t>
  </si>
  <si>
    <t>EDWARDCOLEN@GMAIL.COM</t>
  </si>
  <si>
    <t>INGENIERO</t>
  </si>
  <si>
    <t>TECNOLOGO</t>
  </si>
  <si>
    <t>SUPERVISOR</t>
  </si>
  <si>
    <t>TECNICO</t>
  </si>
  <si>
    <t>AUXILIAR</t>
  </si>
  <si>
    <t>EMPLEADOS</t>
  </si>
  <si>
    <t>CERRADO</t>
  </si>
  <si>
    <t>HAFIT</t>
  </si>
  <si>
    <t>DNSJVS</t>
  </si>
  <si>
    <t>JUAN</t>
  </si>
  <si>
    <t>SGDSFGDSFG@NSDCSJVH</t>
  </si>
  <si>
    <t>FDVSDFDF</t>
  </si>
  <si>
    <t>FGSDFGSDFG</t>
  </si>
  <si>
    <t>jose</t>
  </si>
  <si>
    <t>HAADMERI@GMAIL.COM</t>
  </si>
  <si>
    <t>VALIDAR SERVICIO</t>
  </si>
  <si>
    <t>ID</t>
  </si>
  <si>
    <t>FACTURA</t>
  </si>
  <si>
    <t>NOMBRE CLIENTE</t>
  </si>
  <si>
    <t>CANT</t>
  </si>
  <si>
    <t>SUB.TOTAL</t>
  </si>
  <si>
    <t>PREVENTIVO, CORRECTIVO</t>
  </si>
  <si>
    <t>juanito</t>
  </si>
  <si>
    <t>juanito@gmail.com</t>
  </si>
  <si>
    <t>ajkdasdd</t>
  </si>
  <si>
    <t>ABIERTO</t>
  </si>
  <si>
    <t>SOFTWARE, SISTEMA OPERATIVO, PAQUETE OFFICE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</si>
</sst>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5" formatCode="&quot;$&quot;\ #,##0;\-&quot;$&quot;\ #,##0"/>
    <numFmt numFmtId="7" formatCode="&quot;$&quot;\ #,##0.00;\-&quot;$&quot;\ #,##0.00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&quot;$&quot;\ #,##0.00"/>
    <numFmt numFmtId="166" formatCode="&quot;$&quot;\ #,##0"/>
    <numFmt numFmtId="167" formatCode="_-[$$-240A]\ * #,##0_-;\-[$$-240A]\ * #,##0_-;_-[$$-240A]\ * &quot;-&quot;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26"/>
      <color theme="4" tint="0.3999755851924192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1"/>
      <color rgb="FF800080"/>
      <name val="Aptos Slab Light"/>
      <family val="2"/>
    </font>
    <font>
      <sz val="36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399975585192419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71">
    <xf numFmtId="0" fontId="0" fillId="0" borderId="0" xfId="0"/>
    <xf numFmtId="0" fontId="0" fillId="0" borderId="1" xfId="0" applyBorder="1"/>
    <xf numFmtId="0" fontId="0" fillId="3" borderId="1" xfId="0" applyFill="1" applyBorder="1"/>
    <xf numFmtId="44" fontId="0" fillId="0" borderId="1" xfId="2" applyFont="1" applyBorder="1"/>
    <xf numFmtId="0" fontId="0" fillId="0" borderId="1" xfId="0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4" fillId="0" borderId="1" xfId="3" applyFill="1" applyBorder="1" applyAlignment="1">
      <alignment horizontal="center"/>
    </xf>
    <xf numFmtId="0" fontId="0" fillId="0" borderId="0" xfId="0" applyAlignment="1">
      <alignment vertical="center"/>
    </xf>
    <xf numFmtId="0" fontId="0" fillId="3" borderId="4" xfId="0" applyFill="1" applyBorder="1"/>
    <xf numFmtId="0" fontId="2" fillId="0" borderId="0" xfId="0" applyFont="1"/>
    <xf numFmtId="0" fontId="0" fillId="2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6" fontId="0" fillId="0" borderId="0" xfId="1" applyNumberFormat="1" applyFont="1" applyAlignment="1">
      <alignment horizontal="left"/>
    </xf>
    <xf numFmtId="166" fontId="0" fillId="0" borderId="0" xfId="0" applyNumberFormat="1" applyAlignment="1">
      <alignment horizontal="left"/>
    </xf>
    <xf numFmtId="0" fontId="0" fillId="5" borderId="1" xfId="0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4" xfId="0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1" xfId="0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/>
    </xf>
    <xf numFmtId="7" fontId="0" fillId="0" borderId="0" xfId="0" applyNumberFormat="1"/>
    <xf numFmtId="0" fontId="6" fillId="0" borderId="0" xfId="0" applyFont="1" applyAlignment="1">
      <alignment horizontal="center"/>
    </xf>
    <xf numFmtId="0" fontId="0" fillId="8" borderId="1" xfId="0" applyFill="1" applyBorder="1" applyAlignment="1">
      <alignment horizontal="center" vertical="center"/>
    </xf>
    <xf numFmtId="7" fontId="0" fillId="8" borderId="1" xfId="0" applyNumberFormat="1" applyFill="1" applyBorder="1" applyAlignment="1">
      <alignment horizontal="center" vertical="center"/>
    </xf>
    <xf numFmtId="0" fontId="0" fillId="8" borderId="1" xfId="0" applyFill="1" applyBorder="1"/>
    <xf numFmtId="0" fontId="0" fillId="8" borderId="4" xfId="0" applyFill="1" applyBorder="1" applyAlignment="1">
      <alignment horizontal="center" vertical="center"/>
    </xf>
    <xf numFmtId="0" fontId="0" fillId="0" borderId="14" xfId="0" applyBorder="1"/>
    <xf numFmtId="0" fontId="4" fillId="0" borderId="1" xfId="3" applyBorder="1"/>
    <xf numFmtId="14" fontId="0" fillId="0" borderId="0" xfId="0" applyNumberFormat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11" xfId="0" applyFill="1" applyBorder="1"/>
    <xf numFmtId="0" fontId="0" fillId="3" borderId="7" xfId="0" applyFill="1" applyBorder="1"/>
    <xf numFmtId="0" fontId="0" fillId="3" borderId="10" xfId="0" applyFill="1" applyBorder="1"/>
    <xf numFmtId="0" fontId="0" fillId="0" borderId="15" xfId="0" applyBorder="1" applyAlignment="1">
      <alignment horizontal="center"/>
    </xf>
    <xf numFmtId="0" fontId="4" fillId="0" borderId="15" xfId="3" applyFill="1" applyBorder="1" applyAlignment="1">
      <alignment horizontal="center"/>
    </xf>
    <xf numFmtId="0" fontId="0" fillId="5" borderId="2" xfId="0" applyFill="1" applyBorder="1"/>
    <xf numFmtId="0" fontId="0" fillId="5" borderId="3" xfId="0" applyFill="1" applyBorder="1"/>
    <xf numFmtId="0" fontId="6" fillId="7" borderId="0" xfId="0" applyFont="1" applyFill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16" xfId="0" applyBorder="1"/>
    <xf numFmtId="0" fontId="6" fillId="0" borderId="21" xfId="0" applyFont="1" applyBorder="1"/>
    <xf numFmtId="167" fontId="0" fillId="0" borderId="21" xfId="0" applyNumberFormat="1" applyBorder="1"/>
    <xf numFmtId="167" fontId="0" fillId="0" borderId="24" xfId="0" applyNumberFormat="1" applyBorder="1"/>
    <xf numFmtId="14" fontId="6" fillId="7" borderId="7" xfId="0" applyNumberFormat="1" applyFont="1" applyFill="1" applyBorder="1" applyAlignment="1">
      <alignment horizontal="center" vertical="center"/>
    </xf>
    <xf numFmtId="14" fontId="0" fillId="0" borderId="16" xfId="0" applyNumberFormat="1" applyBorder="1"/>
    <xf numFmtId="0" fontId="7" fillId="9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1" xfId="0" applyFill="1" applyBorder="1" applyAlignment="1">
      <alignment horizontal="center"/>
    </xf>
    <xf numFmtId="1" fontId="0" fillId="0" borderId="1" xfId="0" applyNumberFormat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2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0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3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1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5" borderId="2" xfId="0" applyFont="1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5" fontId="0" fillId="0" borderId="3" xfId="2" applyNumberFormat="1" applyFont="1" applyFill="1" applyBorder="1" applyAlignment="1">
      <alignment horizontal="center"/>
    </xf>
    <xf numFmtId="5" fontId="0" fillId="0" borderId="4" xfId="2" applyNumberFormat="1" applyFont="1" applyFill="1" applyBorder="1" applyAlignment="1">
      <alignment horizontal="center"/>
    </xf>
    <xf numFmtId="44" fontId="0" fillId="0" borderId="3" xfId="2" applyFont="1" applyFill="1" applyBorder="1" applyAlignment="1">
      <alignment horizontal="center"/>
    </xf>
    <xf numFmtId="44" fontId="0" fillId="0" borderId="4" xfId="2" applyFont="1" applyFill="1" applyBorder="1" applyAlignment="1">
      <alignment horizontal="center"/>
    </xf>
    <xf numFmtId="44" fontId="0" fillId="0" borderId="2" xfId="2" applyFont="1" applyFill="1" applyBorder="1" applyAlignment="1">
      <alignment horizontal="center" vertical="center"/>
    </xf>
    <xf numFmtId="44" fontId="0" fillId="0" borderId="4" xfId="2" applyFont="1" applyFill="1" applyBorder="1" applyAlignment="1">
      <alignment horizontal="center" vertical="center"/>
    </xf>
    <xf numFmtId="5" fontId="0" fillId="0" borderId="2" xfId="2" applyNumberFormat="1" applyFont="1" applyFill="1" applyBorder="1" applyAlignment="1">
      <alignment horizontal="center" vertical="center"/>
    </xf>
    <xf numFmtId="5" fontId="0" fillId="0" borderId="4" xfId="2" applyNumberFormat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2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" xfId="0" applyFill="1" applyBorder="1" applyAlignment="1">
      <alignment horizontal="center"/>
    </xf>
    <xf numFmtId="164" fontId="0" fillId="0" borderId="1" xfId="2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0" borderId="2" xfId="2" applyNumberFormat="1" applyFont="1" applyFill="1" applyBorder="1" applyAlignment="1">
      <alignment horizontal="center" vertical="center"/>
    </xf>
    <xf numFmtId="164" fontId="0" fillId="0" borderId="4" xfId="2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22" fontId="0" fillId="0" borderId="2" xfId="0" applyNumberFormat="1" applyBorder="1" applyAlignment="1">
      <alignment horizont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7" fontId="0" fillId="0" borderId="1" xfId="0" applyNumberForma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6" fillId="8" borderId="23" xfId="0" applyFont="1" applyFill="1" applyBorder="1" applyAlignment="1">
      <alignment horizontal="center"/>
    </xf>
    <xf numFmtId="0" fontId="10" fillId="10" borderId="17" xfId="0" applyFont="1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0" borderId="20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10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11" borderId="25" xfId="0" applyFill="1" applyBorder="1" applyAlignment="1">
      <alignment horizontal="center"/>
    </xf>
    <xf numFmtId="0" fontId="0" fillId="11" borderId="26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</cellXfs>
  <cellStyles count="4">
    <cellStyle name="Hipervínculo" xfId="3" builtinId="8"/>
    <cellStyle name="Millares" xfId="1" builtinId="3"/>
    <cellStyle name="Moneda" xfId="2" builtinId="4"/>
    <cellStyle name="Normal" xfId="0" builtinId="0"/>
  </cellStyles>
  <dxfs count="28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9966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9966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9966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9966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dd/mm/yyyy"/>
      <fill>
        <patternFill patternType="solid">
          <fgColor indexed="64"/>
          <bgColor rgb="FF9966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9966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9966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9966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9966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9966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9966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9966FF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9966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9966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I$18" lockText="1" noThreeD="1"/>
</file>

<file path=xl/ctrlProps/ctrlProp10.xml><?xml version="1.0" encoding="utf-8"?>
<formControlPr xmlns="http://schemas.microsoft.com/office/spreadsheetml/2009/9/main" objectType="CheckBox" fmlaLink="$D$18" lockText="1" noThreeD="1"/>
</file>

<file path=xl/ctrlProps/ctrlProp11.xml><?xml version="1.0" encoding="utf-8"?>
<formControlPr xmlns="http://schemas.microsoft.com/office/spreadsheetml/2009/9/main" objectType="CheckBox" fmlaLink="$C$15" lockText="1" noThreeD="1"/>
</file>

<file path=xl/ctrlProps/ctrlProp12.xml><?xml version="1.0" encoding="utf-8"?>
<formControlPr xmlns="http://schemas.microsoft.com/office/spreadsheetml/2009/9/main" objectType="CheckBox" fmlaLink="$D$29" lockText="1" noThreeD="1"/>
</file>

<file path=xl/ctrlProps/ctrlProp13.xml><?xml version="1.0" encoding="utf-8"?>
<formControlPr xmlns="http://schemas.microsoft.com/office/spreadsheetml/2009/9/main" objectType="CheckBox" fmlaLink="$I$29" lockText="1" noThreeD="1"/>
</file>

<file path=xl/ctrlProps/ctrlProp14.xml><?xml version="1.0" encoding="utf-8"?>
<formControlPr xmlns="http://schemas.microsoft.com/office/spreadsheetml/2009/9/main" objectType="CheckBox" fmlaLink="$N$17" lockText="1" noThreeD="1"/>
</file>

<file path=xl/ctrlProps/ctrlProp15.xml><?xml version="1.0" encoding="utf-8"?>
<formControlPr xmlns="http://schemas.microsoft.com/office/spreadsheetml/2009/9/main" objectType="CheckBox" fmlaLink="$H$7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4</xdr:row>
      <xdr:rowOff>0</xdr:rowOff>
    </xdr:from>
    <xdr:to>
      <xdr:col>14</xdr:col>
      <xdr:colOff>304800</xdr:colOff>
      <xdr:row>5</xdr:row>
      <xdr:rowOff>114300</xdr:rowOff>
    </xdr:to>
    <xdr:sp macro="" textlink="">
      <xdr:nvSpPr>
        <xdr:cNvPr id="1028" name="AutoShape 4" descr="Resultado de imagen de logo de mantenimiento">
          <a:extLst>
            <a:ext uri="{FF2B5EF4-FFF2-40B4-BE49-F238E27FC236}">
              <a16:creationId xmlns:a16="http://schemas.microsoft.com/office/drawing/2014/main" id="{528A124B-8006-3A93-2D62-89CAA3CE4841}"/>
            </a:ext>
          </a:extLst>
        </xdr:cNvPr>
        <xdr:cNvSpPr>
          <a:spLocks noChangeAspect="1" noChangeArrowheads="1"/>
        </xdr:cNvSpPr>
      </xdr:nvSpPr>
      <xdr:spPr bwMode="auto">
        <a:xfrm>
          <a:off x="10668000" y="7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257174</xdr:colOff>
      <xdr:row>9</xdr:row>
      <xdr:rowOff>91440</xdr:rowOff>
    </xdr:from>
    <xdr:to>
      <xdr:col>6</xdr:col>
      <xdr:colOff>723899</xdr:colOff>
      <xdr:row>16</xdr:row>
      <xdr:rowOff>95250</xdr:rowOff>
    </xdr:to>
    <xdr:pic macro="[0]!preventivo">
      <xdr:nvPicPr>
        <xdr:cNvPr id="2" name="Imagen 1">
          <a:extLst>
            <a:ext uri="{FF2B5EF4-FFF2-40B4-BE49-F238E27FC236}">
              <a16:creationId xmlns:a16="http://schemas.microsoft.com/office/drawing/2014/main" id="{1FF53D11-DE88-2684-7AE7-8F0194D85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19574" y="1737360"/>
          <a:ext cx="1259205" cy="1283970"/>
        </a:xfrm>
        <a:prstGeom prst="rect">
          <a:avLst/>
        </a:prstGeom>
      </xdr:spPr>
    </xdr:pic>
    <xdr:clientData/>
  </xdr:twoCellAnchor>
  <xdr:twoCellAnchor editAs="oneCell">
    <xdr:from>
      <xdr:col>9</xdr:col>
      <xdr:colOff>295276</xdr:colOff>
      <xdr:row>10</xdr:row>
      <xdr:rowOff>104775</xdr:rowOff>
    </xdr:from>
    <xdr:to>
      <xdr:col>10</xdr:col>
      <xdr:colOff>561975</xdr:colOff>
      <xdr:row>16</xdr:row>
      <xdr:rowOff>57151</xdr:rowOff>
    </xdr:to>
    <xdr:pic macro="[0]!INDUCCION1">
      <xdr:nvPicPr>
        <xdr:cNvPr id="4" name="Imagen 3" descr="PROCESO DE INDUCCIÓN : PROCESO DE INDUCCIÓN">
          <a:extLst>
            <a:ext uri="{FF2B5EF4-FFF2-40B4-BE49-F238E27FC236}">
              <a16:creationId xmlns:a16="http://schemas.microsoft.com/office/drawing/2014/main" id="{E87AD40D-0277-0663-23CC-0B4573F02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39076" y="1914525"/>
          <a:ext cx="1104899" cy="1038226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396240</xdr:colOff>
      <xdr:row>10</xdr:row>
      <xdr:rowOff>60960</xdr:rowOff>
    </xdr:from>
    <xdr:to>
      <xdr:col>8</xdr:col>
      <xdr:colOff>595663</xdr:colOff>
      <xdr:row>15</xdr:row>
      <xdr:rowOff>138463</xdr:rowOff>
    </xdr:to>
    <xdr:pic macro="[0]!EMPLEADOS">
      <xdr:nvPicPr>
        <xdr:cNvPr id="3" name="Imagen 2">
          <a:extLst>
            <a:ext uri="{FF2B5EF4-FFF2-40B4-BE49-F238E27FC236}">
              <a16:creationId xmlns:a16="http://schemas.microsoft.com/office/drawing/2014/main" id="{ECFEF2AD-90D7-3A6E-8ED8-9AC0D1694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43600" y="1889760"/>
          <a:ext cx="991903" cy="991903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914400</xdr:colOff>
          <xdr:row>0</xdr:row>
          <xdr:rowOff>22860</xdr:rowOff>
        </xdr:from>
        <xdr:to>
          <xdr:col>14</xdr:col>
          <xdr:colOff>480060</xdr:colOff>
          <xdr:row>0</xdr:row>
          <xdr:rowOff>373380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CAMBIAR ESTADO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327660</xdr:colOff>
          <xdr:row>0</xdr:row>
          <xdr:rowOff>83820</xdr:rowOff>
        </xdr:from>
        <xdr:to>
          <xdr:col>9</xdr:col>
          <xdr:colOff>38100</xdr:colOff>
          <xdr:row>1</xdr:row>
          <xdr:rowOff>83820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NUEVO CLIENTE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403860</xdr:colOff>
          <xdr:row>2</xdr:row>
          <xdr:rowOff>76200</xdr:rowOff>
        </xdr:from>
        <xdr:to>
          <xdr:col>9</xdr:col>
          <xdr:colOff>30480</xdr:colOff>
          <xdr:row>4</xdr:row>
          <xdr:rowOff>152400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BUSCAR CLIENTE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198120</xdr:colOff>
          <xdr:row>19</xdr:row>
          <xdr:rowOff>175260</xdr:rowOff>
        </xdr:from>
        <xdr:to>
          <xdr:col>7</xdr:col>
          <xdr:colOff>426720</xdr:colOff>
          <xdr:row>21</xdr:row>
          <xdr:rowOff>76200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19</xdr:row>
          <xdr:rowOff>144780</xdr:rowOff>
        </xdr:from>
        <xdr:to>
          <xdr:col>10</xdr:col>
          <xdr:colOff>518160</xdr:colOff>
          <xdr:row>21</xdr:row>
          <xdr:rowOff>106680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FACTURAR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9</xdr:row>
          <xdr:rowOff>152400</xdr:rowOff>
        </xdr:from>
        <xdr:to>
          <xdr:col>13</xdr:col>
          <xdr:colOff>731520</xdr:colOff>
          <xdr:row>11</xdr:row>
          <xdr:rowOff>76200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5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LIMPIEZA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175260</xdr:colOff>
          <xdr:row>25</xdr:row>
          <xdr:rowOff>121920</xdr:rowOff>
        </xdr:from>
        <xdr:to>
          <xdr:col>11</xdr:col>
          <xdr:colOff>45720</xdr:colOff>
          <xdr:row>27</xdr:row>
          <xdr:rowOff>76200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5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25</xdr:row>
          <xdr:rowOff>144780</xdr:rowOff>
        </xdr:from>
        <xdr:to>
          <xdr:col>13</xdr:col>
          <xdr:colOff>1013460</xdr:colOff>
          <xdr:row>27</xdr:row>
          <xdr:rowOff>106680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5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IR A 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563880</xdr:colOff>
          <xdr:row>16</xdr:row>
          <xdr:rowOff>137160</xdr:rowOff>
        </xdr:from>
        <xdr:to>
          <xdr:col>9</xdr:col>
          <xdr:colOff>99060</xdr:colOff>
          <xdr:row>17</xdr:row>
          <xdr:rowOff>175260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5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16</xdr:row>
          <xdr:rowOff>182880</xdr:rowOff>
        </xdr:from>
        <xdr:to>
          <xdr:col>4</xdr:col>
          <xdr:colOff>60960</xdr:colOff>
          <xdr:row>18</xdr:row>
          <xdr:rowOff>30480</xdr:rowOff>
        </xdr:to>
        <xdr:sp macro="" textlink="">
          <xdr:nvSpPr>
            <xdr:cNvPr id="2083" name="Check Box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5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297180</xdr:colOff>
          <xdr:row>13</xdr:row>
          <xdr:rowOff>152400</xdr:rowOff>
        </xdr:from>
        <xdr:to>
          <xdr:col>2</xdr:col>
          <xdr:colOff>716280</xdr:colOff>
          <xdr:row>15</xdr:row>
          <xdr:rowOff>0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5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27</xdr:row>
          <xdr:rowOff>182880</xdr:rowOff>
        </xdr:from>
        <xdr:to>
          <xdr:col>4</xdr:col>
          <xdr:colOff>175260</xdr:colOff>
          <xdr:row>29</xdr:row>
          <xdr:rowOff>30480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5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27</xdr:row>
          <xdr:rowOff>144780</xdr:rowOff>
        </xdr:from>
        <xdr:to>
          <xdr:col>9</xdr:col>
          <xdr:colOff>220980</xdr:colOff>
          <xdr:row>28</xdr:row>
          <xdr:rowOff>182880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5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</xdr:colOff>
          <xdr:row>16</xdr:row>
          <xdr:rowOff>60960</xdr:rowOff>
        </xdr:from>
        <xdr:to>
          <xdr:col>13</xdr:col>
          <xdr:colOff>487680</xdr:colOff>
          <xdr:row>17</xdr:row>
          <xdr:rowOff>99060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5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198120</xdr:colOff>
          <xdr:row>5</xdr:row>
          <xdr:rowOff>190500</xdr:rowOff>
        </xdr:from>
        <xdr:to>
          <xdr:col>7</xdr:col>
          <xdr:colOff>632460</xdr:colOff>
          <xdr:row>7</xdr:row>
          <xdr:rowOff>38100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5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678180</xdr:colOff>
          <xdr:row>9</xdr:row>
          <xdr:rowOff>175260</xdr:rowOff>
        </xdr:from>
        <xdr:to>
          <xdr:col>11</xdr:col>
          <xdr:colOff>373380</xdr:colOff>
          <xdr:row>11</xdr:row>
          <xdr:rowOff>106680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5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 A FACTURA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1</xdr:row>
          <xdr:rowOff>22860</xdr:rowOff>
        </xdr:from>
        <xdr:to>
          <xdr:col>8</xdr:col>
          <xdr:colOff>251460</xdr:colOff>
          <xdr:row>2</xdr:row>
          <xdr:rowOff>160020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1" u="none" strike="noStrike" baseline="0">
                  <a:solidFill>
                    <a:srgbClr val="800080"/>
                  </a:solidFill>
                  <a:latin typeface="Aptos Slab Light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7</xdr:row>
          <xdr:rowOff>30480</xdr:rowOff>
        </xdr:from>
        <xdr:to>
          <xdr:col>14</xdr:col>
          <xdr:colOff>38100</xdr:colOff>
          <xdr:row>9</xdr:row>
          <xdr:rowOff>175260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7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 FACTURA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251460</xdr:colOff>
          <xdr:row>10</xdr:row>
          <xdr:rowOff>152400</xdr:rowOff>
        </xdr:from>
        <xdr:to>
          <xdr:col>14</xdr:col>
          <xdr:colOff>68580</xdr:colOff>
          <xdr:row>13</xdr:row>
          <xdr:rowOff>68580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7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 POR WHATSAPP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297180</xdr:colOff>
          <xdr:row>14</xdr:row>
          <xdr:rowOff>30480</xdr:rowOff>
        </xdr:from>
        <xdr:to>
          <xdr:col>14</xdr:col>
          <xdr:colOff>68580</xdr:colOff>
          <xdr:row>16</xdr:row>
          <xdr:rowOff>175260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7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DESCARGAR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3</xdr:row>
          <xdr:rowOff>114300</xdr:rowOff>
        </xdr:from>
        <xdr:to>
          <xdr:col>14</xdr:col>
          <xdr:colOff>7620</xdr:colOff>
          <xdr:row>6</xdr:row>
          <xdr:rowOff>30480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7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SOLICITUD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607141-9879-4F66-ACC7-5281EA09A569}" name="Tabla2" displayName="Tabla2" ref="A1:L4" insertRowShift="1" totalsRowShown="0" headerRowDxfId="27" dataDxfId="25" headerRowBorderDxfId="26" tableBorderDxfId="24">
  <autoFilter ref="A1:L4" xr:uid="{58607141-9879-4F66-ACC7-5281EA09A569}"/>
  <tableColumns count="12">
    <tableColumn id="1" xr3:uid="{89F7345E-7745-430C-A6E3-EC5250CCC8C2}" name="ID" dataDxfId="23"/>
    <tableColumn id="2" xr3:uid="{30E3401C-FD4F-4440-96CD-7EEACE1FB26F}" name="CLIENTE" dataDxfId="22"/>
    <tableColumn id="3" xr3:uid="{BC707775-A89B-4FB6-91A9-D9FBC50EF228}" name="CEDULA" dataDxfId="21"/>
    <tableColumn id="4" xr3:uid="{20ACF2FC-AD1C-4BC8-A74D-2EAD32F021BE}" name="TELEFONO" dataDxfId="20"/>
    <tableColumn id="5" xr3:uid="{403781AD-F463-4D13-BEAF-E825C128C9E4}" name="GMAIL" dataDxfId="19"/>
    <tableColumn id="6" xr3:uid="{811BBFEE-7D70-418B-870F-8F50A63292EB}" name="DIRECCION " dataDxfId="18"/>
    <tableColumn id="8" xr3:uid="{F6987905-4CD2-40C5-9121-3E6EDEB01F9B}" name="SOLICITUD" dataDxfId="17"/>
    <tableColumn id="9" xr3:uid="{6E8C9CD8-EF25-4228-9094-BD9B83A29C63}" name="TIEMPO ESTIMADO " dataDxfId="16"/>
    <tableColumn id="10" xr3:uid="{A274669A-7321-4E59-990D-A6B215794190}" name="FECHA DE ENTREGA " dataDxfId="15"/>
    <tableColumn id="11" xr3:uid="{62913839-4EC2-4E76-AB91-9C097F1162CD}" name="TOTAL" dataDxfId="14"/>
    <tableColumn id="12" xr3:uid="{A851FA97-F17F-4044-ABD6-E073EFFC144A}" name="EMPLEADO" dataDxfId="13"/>
    <tableColumn id="13" xr3:uid="{731FAFF6-571B-4DC1-A6ED-6A3D814B7719}" name="ESTADO ACTUAL_x000a_DE SOLICITUD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525195-9879-415E-BFBA-ED4074F1AE4E}" name="tablacliente" displayName="tablacliente" ref="A3:G10" totalsRowShown="0" headerRowDxfId="11" dataDxfId="9" headerRowBorderDxfId="10" tableBorderDxfId="8" totalsRowBorderDxfId="7">
  <autoFilter ref="A3:G10" xr:uid="{3B525195-9879-415E-BFBA-ED4074F1AE4E}"/>
  <tableColumns count="7">
    <tableColumn id="1" xr3:uid="{E37FD20C-16D8-4DAC-9AFD-25447D17C9EB}" name="N. Ticket" dataDxfId="6"/>
    <tableColumn id="2" xr3:uid="{F7F06981-798D-4A34-9ADC-A23CCBE26FE0}" name="Nombre" dataDxfId="5"/>
    <tableColumn id="3" xr3:uid="{669D522E-ADBD-4729-8673-20E289ED96D3}" name="Cedula" dataDxfId="4"/>
    <tableColumn id="4" xr3:uid="{9A42529F-4A81-4857-AD1A-CB3128DB160E}" name="Celular" dataDxfId="3"/>
    <tableColumn id="5" xr3:uid="{45BB2E95-68F6-4E4D-A741-B9755B97A778}" name="Gmail" dataDxfId="2" dataCellStyle="Hipervínculo"/>
    <tableColumn id="6" xr3:uid="{227FAA94-E25B-4B65-B92C-5A23D9D8AB6B}" name="Direccion " dataDxfId="1"/>
    <tableColumn id="7" xr3:uid="{09FB6F7C-33C1-4529-9635-8552C3BEADE1}" name="Ciuda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HAADMERI@GMAIL.COM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mailto:juanito@gmail.com" TargetMode="External"/><Relationship Id="rId1" Type="http://schemas.openxmlformats.org/officeDocument/2006/relationships/hyperlink" Target="mailto:EDWARDCOLEN@GMAIL.COM" TargetMode="Externa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M18"/>
  <sheetViews>
    <sheetView topLeftCell="A7" workbookViewId="0">
      <selection activeCell="E13" sqref="E13"/>
    </sheetView>
  </sheetViews>
  <sheetFormatPr baseColWidth="10" defaultRowHeight="14.4" x14ac:dyDescent="0.3"/>
  <cols>
    <col min="2" max="2" width="11.5546875" customWidth="1"/>
    <col min="13" max="13" width="21" customWidth="1"/>
  </cols>
  <sheetData>
    <row r="2" spans="3:13" ht="14.4" customHeight="1" x14ac:dyDescent="0.3">
      <c r="C2" s="53" t="s">
        <v>126</v>
      </c>
      <c r="D2" s="53"/>
      <c r="E2" s="53"/>
      <c r="F2" s="53"/>
      <c r="G2" s="53"/>
      <c r="H2" s="53"/>
      <c r="I2" s="53"/>
      <c r="J2" s="53"/>
      <c r="K2" s="53"/>
      <c r="L2" s="53"/>
      <c r="M2" s="53"/>
    </row>
    <row r="3" spans="3:13" x14ac:dyDescent="0.3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</row>
    <row r="4" spans="3:13" x14ac:dyDescent="0.3"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</row>
    <row r="5" spans="3:13" x14ac:dyDescent="0.3"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</row>
    <row r="6" spans="3:13" x14ac:dyDescent="0.3"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</row>
    <row r="7" spans="3:13" x14ac:dyDescent="0.3"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</row>
    <row r="18" spans="2:13" x14ac:dyDescent="0.3">
      <c r="B18" s="54"/>
      <c r="C18" s="54"/>
      <c r="D18" s="54"/>
      <c r="E18" s="54"/>
      <c r="F18" s="54" t="s">
        <v>26</v>
      </c>
      <c r="G18" s="54"/>
      <c r="H18" s="54" t="s">
        <v>149</v>
      </c>
      <c r="I18" s="54"/>
      <c r="J18" s="54" t="s">
        <v>29</v>
      </c>
      <c r="K18" s="54"/>
      <c r="L18" s="54"/>
      <c r="M18" s="54"/>
    </row>
  </sheetData>
  <mergeCells count="7">
    <mergeCell ref="C2:M7"/>
    <mergeCell ref="L18:M18"/>
    <mergeCell ref="B18:C18"/>
    <mergeCell ref="D18:E18"/>
    <mergeCell ref="F18:G18"/>
    <mergeCell ref="H18:I18"/>
    <mergeCell ref="J18:K1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P6"/>
  <sheetViews>
    <sheetView workbookViewId="0">
      <selection activeCell="L2" sqref="L2"/>
    </sheetView>
  </sheetViews>
  <sheetFormatPr baseColWidth="10" defaultRowHeight="14.4" x14ac:dyDescent="0.3"/>
  <cols>
    <col min="1" max="1" width="7.44140625" customWidth="1"/>
    <col min="2" max="2" width="29.44140625" customWidth="1"/>
    <col min="3" max="3" width="14.109375" customWidth="1"/>
    <col min="4" max="4" width="13" customWidth="1"/>
    <col min="5" max="5" width="12.6640625" customWidth="1"/>
    <col min="6" max="6" width="33.33203125" customWidth="1"/>
    <col min="7" max="7" width="38.88671875" customWidth="1"/>
    <col min="8" max="8" width="32.33203125" customWidth="1"/>
    <col min="9" max="9" width="23.5546875" customWidth="1"/>
    <col min="10" max="10" width="21.6640625" customWidth="1"/>
    <col min="11" max="11" width="20" customWidth="1"/>
    <col min="12" max="12" width="23.33203125" customWidth="1"/>
    <col min="13" max="13" width="17.6640625" customWidth="1"/>
  </cols>
  <sheetData>
    <row r="1" spans="1:16" ht="28.8" x14ac:dyDescent="0.3">
      <c r="A1" s="42" t="s">
        <v>160</v>
      </c>
      <c r="B1" s="42" t="s">
        <v>51</v>
      </c>
      <c r="C1" s="42" t="s">
        <v>52</v>
      </c>
      <c r="D1" s="42" t="s">
        <v>53</v>
      </c>
      <c r="E1" s="42" t="s">
        <v>35</v>
      </c>
      <c r="F1" s="42" t="s">
        <v>54</v>
      </c>
      <c r="G1" s="42" t="s">
        <v>56</v>
      </c>
      <c r="H1" s="42" t="s">
        <v>57</v>
      </c>
      <c r="I1" s="42" t="s">
        <v>58</v>
      </c>
      <c r="J1" s="42" t="s">
        <v>80</v>
      </c>
      <c r="K1" s="42" t="s">
        <v>124</v>
      </c>
      <c r="L1" s="43" t="s">
        <v>59</v>
      </c>
    </row>
    <row r="2" spans="1:16" x14ac:dyDescent="0.3">
      <c r="A2" s="41">
        <v>3</v>
      </c>
      <c r="B2" s="42" t="s">
        <v>153</v>
      </c>
      <c r="C2" s="42">
        <v>434525435</v>
      </c>
      <c r="D2" s="42">
        <v>423342535</v>
      </c>
      <c r="E2" s="42" t="s">
        <v>154</v>
      </c>
      <c r="F2" s="42" t="s">
        <v>155</v>
      </c>
      <c r="G2" s="42" t="s">
        <v>170</v>
      </c>
      <c r="H2" s="42">
        <v>3</v>
      </c>
      <c r="I2" s="51">
        <v>45997</v>
      </c>
      <c r="J2" s="42">
        <v>67500</v>
      </c>
      <c r="K2" s="42" t="s">
        <v>142</v>
      </c>
      <c r="L2" s="43" t="s">
        <v>150</v>
      </c>
    </row>
    <row r="3" spans="1:16" x14ac:dyDescent="0.3">
      <c r="A3" s="41">
        <v>3</v>
      </c>
      <c r="B3" s="42" t="s">
        <v>151</v>
      </c>
      <c r="C3" s="42">
        <v>1056994226</v>
      </c>
      <c r="D3" s="42">
        <v>3212423659</v>
      </c>
      <c r="E3" s="42" t="s">
        <v>158</v>
      </c>
      <c r="F3" s="42" t="s">
        <v>152</v>
      </c>
      <c r="G3" s="42" t="s">
        <v>170</v>
      </c>
      <c r="H3" s="42">
        <v>4</v>
      </c>
      <c r="I3" s="51">
        <v>45998</v>
      </c>
      <c r="J3" s="42">
        <v>72500</v>
      </c>
      <c r="K3" s="42" t="s">
        <v>142</v>
      </c>
      <c r="L3" s="43" t="s">
        <v>150</v>
      </c>
    </row>
    <row r="4" spans="1:16" x14ac:dyDescent="0.3">
      <c r="A4" s="41">
        <v>1</v>
      </c>
      <c r="B4" s="42" t="s">
        <v>139</v>
      </c>
      <c r="C4" s="42">
        <v>1002769720</v>
      </c>
      <c r="D4" s="42">
        <v>3132249644</v>
      </c>
      <c r="E4" s="42" t="s">
        <v>66</v>
      </c>
      <c r="F4" s="42" t="s">
        <v>140</v>
      </c>
      <c r="G4" s="42" t="s">
        <v>165</v>
      </c>
      <c r="H4" s="42">
        <v>2</v>
      </c>
      <c r="I4" s="51">
        <v>45995</v>
      </c>
      <c r="J4" s="42">
        <v>269000</v>
      </c>
      <c r="K4" s="42" t="s">
        <v>142</v>
      </c>
      <c r="L4" s="43" t="s">
        <v>150</v>
      </c>
    </row>
    <row r="5" spans="1:16" x14ac:dyDescent="0.3">
      <c r="I5" s="29"/>
      <c r="J5" s="29"/>
    </row>
    <row r="6" spans="1:16" x14ac:dyDescent="0.3">
      <c r="N6" s="5"/>
      <c r="O6" s="5"/>
      <c r="P6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CambiarEstadoSolicitud">
                <anchor moveWithCells="1" sizeWithCells="1">
                  <from>
                    <xdr:col>12</xdr:col>
                    <xdr:colOff>914400</xdr:colOff>
                    <xdr:row>0</xdr:row>
                    <xdr:rowOff>22860</xdr:rowOff>
                  </from>
                  <to>
                    <xdr:col>14</xdr:col>
                    <xdr:colOff>480060</xdr:colOff>
                    <xdr:row>0</xdr:row>
                    <xdr:rowOff>373380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G10"/>
  <sheetViews>
    <sheetView tabSelected="1" workbookViewId="0">
      <selection activeCell="K4" sqref="K4"/>
    </sheetView>
  </sheetViews>
  <sheetFormatPr baseColWidth="10" defaultRowHeight="14.4" x14ac:dyDescent="0.3"/>
  <cols>
    <col min="2" max="4" width="17" customWidth="1"/>
    <col min="5" max="5" width="29.109375" customWidth="1"/>
    <col min="6" max="7" width="17" customWidth="1"/>
  </cols>
  <sheetData>
    <row r="1" spans="1:7" ht="33.6" x14ac:dyDescent="0.65">
      <c r="A1" s="57" t="s">
        <v>0</v>
      </c>
      <c r="B1" s="57"/>
      <c r="C1" s="57"/>
      <c r="D1" s="57"/>
      <c r="E1" s="57"/>
      <c r="F1" s="57"/>
      <c r="G1" s="57"/>
    </row>
    <row r="2" spans="1:7" x14ac:dyDescent="0.3">
      <c r="B2" s="55"/>
      <c r="C2" s="56"/>
      <c r="D2" s="56"/>
      <c r="E2" s="56"/>
      <c r="F2" s="56"/>
      <c r="G2" s="56"/>
    </row>
    <row r="3" spans="1:7" ht="12.75" customHeight="1" x14ac:dyDescent="0.3">
      <c r="A3" s="34" t="s">
        <v>28</v>
      </c>
      <c r="B3" s="35" t="s">
        <v>1</v>
      </c>
      <c r="C3" s="35" t="s">
        <v>2</v>
      </c>
      <c r="D3" s="35" t="s">
        <v>3</v>
      </c>
      <c r="E3" s="35" t="s">
        <v>4</v>
      </c>
      <c r="F3" s="35" t="s">
        <v>5</v>
      </c>
      <c r="G3" s="36" t="s">
        <v>6</v>
      </c>
    </row>
    <row r="4" spans="1:7" x14ac:dyDescent="0.3">
      <c r="A4" s="31">
        <v>1</v>
      </c>
      <c r="B4" s="4" t="s">
        <v>153</v>
      </c>
      <c r="C4" s="4">
        <v>434525435</v>
      </c>
      <c r="D4" s="4">
        <v>423342535</v>
      </c>
      <c r="E4" s="6" t="s">
        <v>154</v>
      </c>
      <c r="F4" s="4" t="s">
        <v>155</v>
      </c>
      <c r="G4" s="30" t="s">
        <v>156</v>
      </c>
    </row>
    <row r="5" spans="1:7" x14ac:dyDescent="0.3">
      <c r="A5" s="31">
        <v>1</v>
      </c>
      <c r="B5" s="4" t="s">
        <v>151</v>
      </c>
      <c r="C5" s="4">
        <v>1056994226</v>
      </c>
      <c r="D5" s="4">
        <v>3212423659</v>
      </c>
      <c r="E5" s="6" t="s">
        <v>158</v>
      </c>
      <c r="F5" s="4" t="s">
        <v>152</v>
      </c>
      <c r="G5" s="30" t="s">
        <v>64</v>
      </c>
    </row>
    <row r="6" spans="1:7" x14ac:dyDescent="0.3">
      <c r="A6" s="31">
        <v>1</v>
      </c>
      <c r="B6" s="4" t="s">
        <v>139</v>
      </c>
      <c r="C6" s="4">
        <v>1002769720</v>
      </c>
      <c r="D6" s="4">
        <v>3132249644</v>
      </c>
      <c r="E6" s="6" t="s">
        <v>66</v>
      </c>
      <c r="F6" s="4" t="s">
        <v>140</v>
      </c>
      <c r="G6" s="30" t="s">
        <v>141</v>
      </c>
    </row>
    <row r="7" spans="1:7" x14ac:dyDescent="0.3">
      <c r="A7" s="31">
        <v>1</v>
      </c>
      <c r="B7" s="4" t="s">
        <v>61</v>
      </c>
      <c r="C7" s="4">
        <v>1111</v>
      </c>
      <c r="D7" s="4">
        <v>1111</v>
      </c>
      <c r="E7" s="6" t="s">
        <v>137</v>
      </c>
      <c r="F7" s="4">
        <v>222</v>
      </c>
      <c r="G7" s="30" t="s">
        <v>138</v>
      </c>
    </row>
    <row r="8" spans="1:7" x14ac:dyDescent="0.3">
      <c r="A8" s="31">
        <v>1</v>
      </c>
      <c r="B8" s="4" t="s">
        <v>133</v>
      </c>
      <c r="C8" s="4">
        <v>33</v>
      </c>
      <c r="D8" s="4">
        <v>33</v>
      </c>
      <c r="E8" s="6" t="s">
        <v>134</v>
      </c>
      <c r="F8" s="4" t="s">
        <v>135</v>
      </c>
      <c r="G8" s="30" t="s">
        <v>136</v>
      </c>
    </row>
    <row r="9" spans="1:7" x14ac:dyDescent="0.3">
      <c r="A9" s="31">
        <v>2</v>
      </c>
      <c r="B9" s="4" t="s">
        <v>65</v>
      </c>
      <c r="C9" s="4">
        <v>1002769720</v>
      </c>
      <c r="D9" s="4">
        <v>3132249644</v>
      </c>
      <c r="E9" s="6" t="s">
        <v>66</v>
      </c>
      <c r="F9" s="4" t="s">
        <v>67</v>
      </c>
      <c r="G9" s="30" t="s">
        <v>64</v>
      </c>
    </row>
    <row r="10" spans="1:7" x14ac:dyDescent="0.3">
      <c r="A10" s="33">
        <v>1</v>
      </c>
      <c r="B10" s="37" t="s">
        <v>157</v>
      </c>
      <c r="C10" s="37">
        <v>1057980602</v>
      </c>
      <c r="D10" s="37">
        <v>3228290451</v>
      </c>
      <c r="E10" s="38" t="s">
        <v>62</v>
      </c>
      <c r="F10" s="37" t="s">
        <v>63</v>
      </c>
      <c r="G10" s="32" t="s">
        <v>64</v>
      </c>
    </row>
  </sheetData>
  <mergeCells count="2">
    <mergeCell ref="B2:G2"/>
    <mergeCell ref="A1:G1"/>
  </mergeCells>
  <hyperlinks>
    <hyperlink ref="E5" r:id="rId1" xr:uid="{D607D1DC-85E0-4CEF-B75C-64682D4AE45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LIENTES_Botón1_Haga_clic_en">
                <anchor moveWithCells="1" sizeWithCells="1">
                  <from>
                    <xdr:col>7</xdr:col>
                    <xdr:colOff>327660</xdr:colOff>
                    <xdr:row>0</xdr:row>
                    <xdr:rowOff>83820</xdr:rowOff>
                  </from>
                  <to>
                    <xdr:col>9</xdr:col>
                    <xdr:colOff>38100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BuscarClientePorCedula">
                <anchor moveWithCells="1" sizeWithCells="1">
                  <from>
                    <xdr:col>7</xdr:col>
                    <xdr:colOff>403860</xdr:colOff>
                    <xdr:row>2</xdr:row>
                    <xdr:rowOff>76200</xdr:rowOff>
                  </from>
                  <to>
                    <xdr:col>9</xdr:col>
                    <xdr:colOff>30480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/>
  <dimension ref="B2:L32"/>
  <sheetViews>
    <sheetView workbookViewId="0">
      <selection activeCell="H11" sqref="H11"/>
    </sheetView>
  </sheetViews>
  <sheetFormatPr baseColWidth="10" defaultRowHeight="14.4" x14ac:dyDescent="0.3"/>
  <cols>
    <col min="2" max="2" width="26.6640625" customWidth="1"/>
    <col min="3" max="3" width="14.33203125" customWidth="1"/>
    <col min="5" max="5" width="16.33203125" customWidth="1"/>
    <col min="9" max="9" width="27.6640625" customWidth="1"/>
    <col min="10" max="10" width="15.33203125" customWidth="1"/>
  </cols>
  <sheetData>
    <row r="2" spans="2:12" x14ac:dyDescent="0.3">
      <c r="B2" t="s">
        <v>7</v>
      </c>
      <c r="C2" s="13">
        <v>748000</v>
      </c>
      <c r="I2" s="1" t="s">
        <v>39</v>
      </c>
      <c r="J2" s="1" t="s">
        <v>49</v>
      </c>
    </row>
    <row r="3" spans="2:12" x14ac:dyDescent="0.3">
      <c r="B3" t="s">
        <v>8</v>
      </c>
      <c r="C3" s="14">
        <v>491000</v>
      </c>
      <c r="E3" t="s">
        <v>74</v>
      </c>
      <c r="H3" t="s">
        <v>145</v>
      </c>
      <c r="I3" s="1" t="s">
        <v>40</v>
      </c>
      <c r="J3" s="3">
        <v>30000</v>
      </c>
    </row>
    <row r="4" spans="2:12" x14ac:dyDescent="0.3">
      <c r="B4" t="s">
        <v>9</v>
      </c>
      <c r="C4" s="14">
        <v>174000</v>
      </c>
      <c r="E4" t="s">
        <v>75</v>
      </c>
      <c r="H4" t="s">
        <v>146</v>
      </c>
      <c r="I4" s="1" t="s">
        <v>41</v>
      </c>
      <c r="J4" s="3">
        <v>30000</v>
      </c>
    </row>
    <row r="5" spans="2:12" x14ac:dyDescent="0.3">
      <c r="B5" t="s">
        <v>10</v>
      </c>
      <c r="C5" s="14">
        <v>180000</v>
      </c>
      <c r="E5" t="s">
        <v>76</v>
      </c>
      <c r="H5" t="s">
        <v>144</v>
      </c>
      <c r="I5" s="1" t="s">
        <v>42</v>
      </c>
      <c r="J5" s="3">
        <v>30000</v>
      </c>
    </row>
    <row r="6" spans="2:12" x14ac:dyDescent="0.3">
      <c r="B6" t="s">
        <v>11</v>
      </c>
      <c r="C6" s="14">
        <v>197000</v>
      </c>
      <c r="H6" t="s">
        <v>147</v>
      </c>
      <c r="I6" s="1" t="s">
        <v>43</v>
      </c>
      <c r="J6" s="3">
        <v>30000</v>
      </c>
      <c r="L6" t="s">
        <v>121</v>
      </c>
    </row>
    <row r="7" spans="2:12" x14ac:dyDescent="0.3">
      <c r="B7" t="s">
        <v>12</v>
      </c>
      <c r="C7" s="14">
        <v>229000</v>
      </c>
      <c r="H7" t="s">
        <v>148</v>
      </c>
      <c r="I7" s="1" t="s">
        <v>44</v>
      </c>
      <c r="J7" s="3">
        <v>30000</v>
      </c>
      <c r="L7" t="s">
        <v>122</v>
      </c>
    </row>
    <row r="8" spans="2:12" x14ac:dyDescent="0.3">
      <c r="B8" t="s">
        <v>13</v>
      </c>
      <c r="C8" s="14">
        <v>311000</v>
      </c>
      <c r="I8" s="1" t="s">
        <v>45</v>
      </c>
      <c r="J8" s="3">
        <v>30000</v>
      </c>
      <c r="L8" t="s">
        <v>123</v>
      </c>
    </row>
    <row r="9" spans="2:12" x14ac:dyDescent="0.3">
      <c r="B9" t="s">
        <v>14</v>
      </c>
      <c r="C9" s="14">
        <v>199000</v>
      </c>
      <c r="I9" s="1" t="s">
        <v>46</v>
      </c>
      <c r="J9" s="3">
        <v>30000</v>
      </c>
    </row>
    <row r="10" spans="2:12" x14ac:dyDescent="0.3">
      <c r="B10" t="s">
        <v>15</v>
      </c>
      <c r="C10" s="14">
        <v>80000</v>
      </c>
      <c r="I10" s="1" t="s">
        <v>42</v>
      </c>
      <c r="J10" s="3">
        <v>30000</v>
      </c>
    </row>
    <row r="11" spans="2:12" x14ac:dyDescent="0.3">
      <c r="B11" t="s">
        <v>16</v>
      </c>
      <c r="C11" s="14">
        <v>80000</v>
      </c>
      <c r="I11" s="1" t="s">
        <v>47</v>
      </c>
      <c r="J11" s="3">
        <v>30000</v>
      </c>
    </row>
    <row r="12" spans="2:12" x14ac:dyDescent="0.3">
      <c r="B12" t="s">
        <v>17</v>
      </c>
      <c r="C12" s="14">
        <v>499000</v>
      </c>
      <c r="I12" s="1" t="s">
        <v>48</v>
      </c>
      <c r="J12" s="3">
        <v>30000</v>
      </c>
    </row>
    <row r="13" spans="2:12" x14ac:dyDescent="0.3">
      <c r="B13" t="s">
        <v>18</v>
      </c>
      <c r="C13" s="14">
        <v>40000</v>
      </c>
    </row>
    <row r="14" spans="2:12" x14ac:dyDescent="0.3">
      <c r="B14" t="s">
        <v>23</v>
      </c>
      <c r="C14" s="14">
        <v>20000</v>
      </c>
    </row>
    <row r="15" spans="2:12" x14ac:dyDescent="0.3">
      <c r="B15" t="s">
        <v>19</v>
      </c>
      <c r="C15" s="14">
        <v>111000</v>
      </c>
    </row>
    <row r="16" spans="2:12" x14ac:dyDescent="0.3">
      <c r="B16" t="s">
        <v>20</v>
      </c>
      <c r="C16" s="14">
        <v>30000</v>
      </c>
    </row>
    <row r="17" spans="2:6" x14ac:dyDescent="0.3">
      <c r="B17" t="s">
        <v>21</v>
      </c>
      <c r="C17" s="14">
        <v>150000</v>
      </c>
    </row>
    <row r="18" spans="2:6" x14ac:dyDescent="0.3">
      <c r="B18" t="s">
        <v>22</v>
      </c>
      <c r="C18" s="14">
        <v>80000</v>
      </c>
    </row>
    <row r="21" spans="2:6" x14ac:dyDescent="0.3">
      <c r="B21" t="s">
        <v>87</v>
      </c>
      <c r="C21" s="19">
        <v>35000</v>
      </c>
      <c r="E21" t="s">
        <v>88</v>
      </c>
    </row>
    <row r="22" spans="2:6" x14ac:dyDescent="0.3">
      <c r="B22" t="s">
        <v>81</v>
      </c>
      <c r="C22" s="18">
        <v>38000</v>
      </c>
      <c r="E22" t="s">
        <v>89</v>
      </c>
    </row>
    <row r="23" spans="2:6" x14ac:dyDescent="0.3">
      <c r="B23" t="s">
        <v>82</v>
      </c>
      <c r="C23" s="18">
        <v>40000</v>
      </c>
      <c r="E23" t="s">
        <v>90</v>
      </c>
    </row>
    <row r="24" spans="2:6" x14ac:dyDescent="0.3">
      <c r="B24" t="s">
        <v>83</v>
      </c>
      <c r="C24" s="18">
        <v>42000</v>
      </c>
      <c r="E24" t="s">
        <v>91</v>
      </c>
    </row>
    <row r="25" spans="2:6" x14ac:dyDescent="0.3">
      <c r="B25" t="s">
        <v>85</v>
      </c>
      <c r="C25" s="18">
        <v>45000</v>
      </c>
      <c r="E25" t="s">
        <v>92</v>
      </c>
    </row>
    <row r="26" spans="2:6" x14ac:dyDescent="0.3">
      <c r="B26" t="s">
        <v>86</v>
      </c>
      <c r="C26" s="18">
        <v>47000</v>
      </c>
      <c r="E26" t="s">
        <v>93</v>
      </c>
      <c r="F26">
        <v>25000</v>
      </c>
    </row>
    <row r="27" spans="2:6" x14ac:dyDescent="0.3">
      <c r="B27" t="s">
        <v>84</v>
      </c>
      <c r="C27" s="18">
        <v>50000</v>
      </c>
      <c r="E27" t="s">
        <v>94</v>
      </c>
      <c r="F27">
        <v>25000</v>
      </c>
    </row>
    <row r="28" spans="2:6" x14ac:dyDescent="0.3">
      <c r="E28" t="s">
        <v>95</v>
      </c>
      <c r="F28">
        <v>25000</v>
      </c>
    </row>
    <row r="29" spans="2:6" x14ac:dyDescent="0.3">
      <c r="E29" t="s">
        <v>96</v>
      </c>
      <c r="F29">
        <v>25000</v>
      </c>
    </row>
    <row r="30" spans="2:6" x14ac:dyDescent="0.3">
      <c r="E30" t="s">
        <v>97</v>
      </c>
      <c r="F30">
        <v>25000</v>
      </c>
    </row>
    <row r="31" spans="2:6" x14ac:dyDescent="0.3">
      <c r="E31" t="s">
        <v>119</v>
      </c>
      <c r="F31">
        <v>25000</v>
      </c>
    </row>
    <row r="32" spans="2:6" x14ac:dyDescent="0.3">
      <c r="E32" t="s">
        <v>98</v>
      </c>
      <c r="F32">
        <v>25000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3:M21"/>
  <sheetViews>
    <sheetView topLeftCell="A5" workbookViewId="0">
      <selection activeCell="B16" sqref="B16:E16"/>
    </sheetView>
  </sheetViews>
  <sheetFormatPr baseColWidth="10" defaultRowHeight="14.4" x14ac:dyDescent="0.3"/>
  <cols>
    <col min="1" max="1" width="13" customWidth="1"/>
  </cols>
  <sheetData>
    <row r="3" spans="1:13" x14ac:dyDescent="0.3">
      <c r="B3" s="67" t="s">
        <v>127</v>
      </c>
      <c r="C3" s="67"/>
      <c r="D3" s="67"/>
      <c r="E3" s="67"/>
      <c r="F3" s="68" t="s">
        <v>128</v>
      </c>
      <c r="G3" s="69"/>
      <c r="H3" s="69"/>
      <c r="I3" s="70"/>
      <c r="J3" s="67" t="s">
        <v>129</v>
      </c>
      <c r="K3" s="67"/>
      <c r="L3" s="67"/>
      <c r="M3" s="67"/>
    </row>
    <row r="4" spans="1:13" x14ac:dyDescent="0.3">
      <c r="B4" s="67"/>
      <c r="C4" s="67"/>
      <c r="D4" s="67"/>
      <c r="E4" s="67"/>
      <c r="F4" s="71"/>
      <c r="G4" s="72"/>
      <c r="H4" s="72"/>
      <c r="I4" s="73"/>
      <c r="J4" s="67"/>
      <c r="K4" s="67"/>
      <c r="L4" s="67"/>
      <c r="M4" s="67"/>
    </row>
    <row r="5" spans="1:13" x14ac:dyDescent="0.3">
      <c r="B5" s="67"/>
      <c r="C5" s="67"/>
      <c r="D5" s="67"/>
      <c r="E5" s="67"/>
      <c r="F5" s="71"/>
      <c r="G5" s="72"/>
      <c r="H5" s="72"/>
      <c r="I5" s="73"/>
      <c r="J5" s="67"/>
      <c r="K5" s="67"/>
      <c r="L5" s="67"/>
      <c r="M5" s="67"/>
    </row>
    <row r="6" spans="1:13" x14ac:dyDescent="0.3">
      <c r="B6" s="67"/>
      <c r="C6" s="67"/>
      <c r="D6" s="67"/>
      <c r="E6" s="67"/>
      <c r="F6" s="71"/>
      <c r="G6" s="72"/>
      <c r="H6" s="72"/>
      <c r="I6" s="73"/>
      <c r="J6" s="67"/>
      <c r="K6" s="67"/>
      <c r="L6" s="67"/>
      <c r="M6" s="67"/>
    </row>
    <row r="7" spans="1:13" x14ac:dyDescent="0.3">
      <c r="B7" s="67"/>
      <c r="C7" s="67"/>
      <c r="D7" s="67"/>
      <c r="E7" s="67"/>
      <c r="F7" s="74"/>
      <c r="G7" s="75"/>
      <c r="H7" s="75"/>
      <c r="I7" s="76"/>
      <c r="J7" s="67"/>
      <c r="K7" s="67"/>
      <c r="L7" s="67"/>
      <c r="M7" s="67"/>
    </row>
    <row r="8" spans="1:13" x14ac:dyDescent="0.3">
      <c r="B8" s="77" t="b">
        <v>1</v>
      </c>
      <c r="C8" s="78"/>
      <c r="D8" s="78"/>
      <c r="E8" s="79"/>
      <c r="F8" s="77" t="b">
        <v>1</v>
      </c>
      <c r="G8" s="78"/>
      <c r="H8" s="78"/>
      <c r="I8" s="79"/>
      <c r="J8" s="77" t="b">
        <v>1</v>
      </c>
      <c r="K8" s="78"/>
      <c r="L8" s="78"/>
      <c r="M8" s="79"/>
    </row>
    <row r="9" spans="1:13" x14ac:dyDescent="0.3">
      <c r="B9" s="80"/>
      <c r="C9" s="81"/>
      <c r="D9" s="81"/>
      <c r="E9" s="82"/>
      <c r="F9" s="80"/>
      <c r="G9" s="81"/>
      <c r="H9" s="81"/>
      <c r="I9" s="82"/>
      <c r="J9" s="80"/>
      <c r="K9" s="81"/>
      <c r="L9" s="81"/>
      <c r="M9" s="82"/>
    </row>
    <row r="10" spans="1:13" x14ac:dyDescent="0.3">
      <c r="B10" s="83"/>
      <c r="C10" s="84"/>
      <c r="D10" s="84"/>
      <c r="E10" s="85"/>
      <c r="F10" s="83"/>
      <c r="G10" s="84"/>
      <c r="H10" s="84"/>
      <c r="I10" s="85"/>
      <c r="J10" s="83"/>
      <c r="K10" s="84"/>
      <c r="L10" s="84"/>
      <c r="M10" s="85"/>
    </row>
    <row r="14" spans="1:13" x14ac:dyDescent="0.3">
      <c r="A14" s="65" t="s">
        <v>0</v>
      </c>
      <c r="B14" s="65"/>
      <c r="C14" s="65"/>
      <c r="D14" s="65"/>
      <c r="E14" s="65"/>
      <c r="G14" s="59" t="s">
        <v>130</v>
      </c>
      <c r="H14" s="60"/>
      <c r="I14" s="61"/>
      <c r="J14" s="25" t="s">
        <v>131</v>
      </c>
      <c r="K14" s="25" t="s">
        <v>132</v>
      </c>
      <c r="L14" s="25" t="s">
        <v>80</v>
      </c>
    </row>
    <row r="15" spans="1:13" x14ac:dyDescent="0.3">
      <c r="G15" s="62" t="str">
        <f>IF(B8=TRUE, B3,"")</f>
        <v>MANEJO BASICO DE ACCESS</v>
      </c>
      <c r="H15" s="63"/>
      <c r="I15" s="64"/>
      <c r="J15" s="1">
        <v>6</v>
      </c>
      <c r="K15" s="1">
        <v>30000</v>
      </c>
      <c r="L15" s="1">
        <f>IF(J15="","",K15*J15)</f>
        <v>180000</v>
      </c>
    </row>
    <row r="16" spans="1:13" x14ac:dyDescent="0.3">
      <c r="A16" s="23" t="s">
        <v>31</v>
      </c>
      <c r="B16" s="58" t="s">
        <v>61</v>
      </c>
      <c r="C16" s="58"/>
      <c r="D16" s="58"/>
      <c r="E16" s="58"/>
      <c r="G16" s="62" t="str">
        <f>IF(F8=TRUE, F3,"")</f>
        <v>MANEJO BASICO DE EXCEL</v>
      </c>
      <c r="H16" s="63"/>
      <c r="I16" s="64"/>
      <c r="J16" s="1"/>
      <c r="K16" s="1">
        <v>30000</v>
      </c>
      <c r="L16" s="1" t="str">
        <f t="shared" ref="L16:L17" si="0">IF(J16="","",K16*J16)</f>
        <v/>
      </c>
    </row>
    <row r="17" spans="1:12" x14ac:dyDescent="0.3">
      <c r="A17" s="23" t="s">
        <v>52</v>
      </c>
      <c r="B17" s="58">
        <f>IF(B16="","",_xlfn.XLOOKUP(B16,CLIENTES!B:B,CLIENTES!C:C))</f>
        <v>1111</v>
      </c>
      <c r="C17" s="58"/>
      <c r="D17" s="58"/>
      <c r="E17" s="58"/>
      <c r="G17" s="62" t="str">
        <f>IF(J8=TRUE, J3,"")</f>
        <v>MANEJO BASICO DE UN PC</v>
      </c>
      <c r="H17" s="63"/>
      <c r="I17" s="64"/>
      <c r="J17" s="1"/>
      <c r="K17" s="1">
        <v>30000</v>
      </c>
      <c r="L17" s="1" t="str">
        <f t="shared" si="0"/>
        <v/>
      </c>
    </row>
    <row r="18" spans="1:12" x14ac:dyDescent="0.3">
      <c r="A18" s="23" t="s">
        <v>118</v>
      </c>
      <c r="B18" s="66">
        <f>IF(B16="","",_xlfn.XLOOKUP(B16,CLIENTES!B:B,CLIENTES!D:D))</f>
        <v>1111</v>
      </c>
      <c r="C18" s="66"/>
      <c r="D18" s="66"/>
      <c r="E18" s="66"/>
      <c r="G18" s="59" t="s">
        <v>80</v>
      </c>
      <c r="H18" s="60"/>
      <c r="I18" s="60"/>
      <c r="J18" s="60"/>
      <c r="K18" s="61"/>
      <c r="L18" s="1">
        <f>IF(COUNT(L15:L17)=0,"",SUM(L15:L17))</f>
        <v>180000</v>
      </c>
    </row>
    <row r="19" spans="1:12" x14ac:dyDescent="0.3">
      <c r="A19" s="23" t="s">
        <v>35</v>
      </c>
      <c r="B19" s="58" t="str">
        <f>IF(B16="","",_xlfn.XLOOKUP(B16,CLIENTES!B:B,CLIENTES!E:E))</f>
        <v>@</v>
      </c>
      <c r="C19" s="58"/>
      <c r="D19" s="58"/>
      <c r="E19" s="58"/>
    </row>
    <row r="20" spans="1:12" x14ac:dyDescent="0.3">
      <c r="A20" s="23" t="s">
        <v>60</v>
      </c>
      <c r="B20" s="58">
        <f>IF(B16="","",_xlfn.XLOOKUP(B16,CLIENTES!B:B,CLIENTES!F:F))</f>
        <v>222</v>
      </c>
      <c r="C20" s="58"/>
      <c r="D20" s="58"/>
      <c r="E20" s="58"/>
    </row>
    <row r="21" spans="1:12" x14ac:dyDescent="0.3">
      <c r="A21" s="26" t="s">
        <v>55</v>
      </c>
      <c r="B21" s="58" t="str">
        <f>IF(B16="","",_xlfn.XLOOKUP(B16,CLIENTES!B:B,CLIENTES!G:G))</f>
        <v>SOSOSO</v>
      </c>
      <c r="C21" s="58"/>
      <c r="D21" s="58"/>
      <c r="E21" s="58"/>
    </row>
  </sheetData>
  <mergeCells count="18">
    <mergeCell ref="B3:E7"/>
    <mergeCell ref="F3:I7"/>
    <mergeCell ref="J3:M7"/>
    <mergeCell ref="B8:E10"/>
    <mergeCell ref="F8:I10"/>
    <mergeCell ref="J8:M10"/>
    <mergeCell ref="B21:E21"/>
    <mergeCell ref="G14:I14"/>
    <mergeCell ref="G15:I15"/>
    <mergeCell ref="G16:I16"/>
    <mergeCell ref="G17:I17"/>
    <mergeCell ref="G18:K18"/>
    <mergeCell ref="A14:E14"/>
    <mergeCell ref="B16:E16"/>
    <mergeCell ref="B17:E17"/>
    <mergeCell ref="B18:E18"/>
    <mergeCell ref="B19:E19"/>
    <mergeCell ref="B20:E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MENU">
                <anchor moveWithCells="1" sizeWithCells="1">
                  <from>
                    <xdr:col>6</xdr:col>
                    <xdr:colOff>198120</xdr:colOff>
                    <xdr:row>19</xdr:row>
                    <xdr:rowOff>175260</xdr:rowOff>
                  </from>
                  <to>
                    <xdr:col>7</xdr:col>
                    <xdr:colOff>426720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otón2_Haga_clic_en">
                <anchor moveWithCells="1" sizeWithCells="1">
                  <from>
                    <xdr:col>9</xdr:col>
                    <xdr:colOff>251460</xdr:colOff>
                    <xdr:row>19</xdr:row>
                    <xdr:rowOff>144780</xdr:rowOff>
                  </from>
                  <to>
                    <xdr:col>10</xdr:col>
                    <xdr:colOff>518160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B37AB6-CAB8-4810-9AD6-CFC10C8B3510}">
          <x14:formula1>
            <xm:f>CLIENTES!$B$4:$B$10</xm:f>
          </x14:formula1>
          <xm:sqref>B16:E16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2:N56"/>
  <sheetViews>
    <sheetView topLeftCell="A20" zoomScale="85" zoomScaleNormal="85" workbookViewId="0">
      <selection activeCell="H14" sqref="H14:I15"/>
    </sheetView>
  </sheetViews>
  <sheetFormatPr baseColWidth="10" defaultRowHeight="14.4" x14ac:dyDescent="0.3"/>
  <cols>
    <col min="1" max="1" width="15.6640625" customWidth="1"/>
    <col min="2" max="2" width="8.6640625" customWidth="1"/>
    <col min="4" max="4" width="12.6640625" bestFit="1" customWidth="1"/>
    <col min="6" max="6" width="6.88671875" customWidth="1"/>
    <col min="8" max="8" width="10" customWidth="1"/>
    <col min="9" max="9" width="13.33203125" customWidth="1"/>
    <col min="10" max="10" width="10.6640625" customWidth="1"/>
    <col min="11" max="11" width="25.6640625" customWidth="1"/>
    <col min="12" max="14" width="16.33203125" customWidth="1"/>
  </cols>
  <sheetData>
    <row r="2" spans="1:14" x14ac:dyDescent="0.3">
      <c r="A2" s="10" t="s">
        <v>117</v>
      </c>
      <c r="B2" s="126">
        <f ca="1">TODAY()</f>
        <v>45997</v>
      </c>
      <c r="C2" s="63"/>
      <c r="D2" s="64"/>
      <c r="E2" s="127" t="s">
        <v>114</v>
      </c>
      <c r="F2" s="128"/>
      <c r="G2" s="62"/>
      <c r="H2" s="63"/>
      <c r="I2" s="64"/>
      <c r="J2" s="120" t="s">
        <v>0</v>
      </c>
      <c r="K2" s="120"/>
      <c r="L2" s="120"/>
      <c r="M2" s="120"/>
      <c r="N2" s="120"/>
    </row>
    <row r="3" spans="1:14" x14ac:dyDescent="0.3">
      <c r="A3" s="10" t="s">
        <v>116</v>
      </c>
      <c r="B3" s="129" t="str">
        <f ca="1">TEXT(NOW(),"HH:MM")</f>
        <v>11:02</v>
      </c>
      <c r="C3" s="63"/>
      <c r="D3" s="64"/>
      <c r="E3" s="127" t="s">
        <v>115</v>
      </c>
      <c r="F3" s="128"/>
      <c r="G3" s="58"/>
      <c r="H3" s="58"/>
      <c r="I3" s="58"/>
    </row>
    <row r="4" spans="1:14" x14ac:dyDescent="0.3">
      <c r="A4" s="11" t="s">
        <v>120</v>
      </c>
      <c r="B4" s="124"/>
      <c r="C4" s="124"/>
      <c r="D4" s="124"/>
      <c r="E4" s="125" t="s">
        <v>68</v>
      </c>
      <c r="F4" s="125"/>
      <c r="G4" s="136">
        <f ca="1">B2+B4</f>
        <v>45997</v>
      </c>
      <c r="H4" s="136"/>
      <c r="I4" s="126"/>
      <c r="J4" s="2" t="s">
        <v>31</v>
      </c>
      <c r="K4" s="58"/>
      <c r="L4" s="58"/>
      <c r="M4" s="58"/>
      <c r="N4" s="58"/>
    </row>
    <row r="5" spans="1:14" x14ac:dyDescent="0.3">
      <c r="A5" s="12"/>
      <c r="B5" s="9"/>
      <c r="C5" s="9"/>
      <c r="D5" s="9"/>
      <c r="E5" s="9"/>
      <c r="F5" s="9"/>
      <c r="G5" s="9"/>
      <c r="H5" s="9"/>
      <c r="I5" s="9"/>
      <c r="J5" s="2" t="s">
        <v>52</v>
      </c>
      <c r="K5" s="62" t="str">
        <f>IF(K4="","",_xlfn.XLOOKUP(K4,CLIENTES!B:B,CLIENTES!C:C))</f>
        <v/>
      </c>
      <c r="L5" s="63"/>
      <c r="M5" s="63"/>
      <c r="N5" s="64"/>
    </row>
    <row r="6" spans="1:14" x14ac:dyDescent="0.3">
      <c r="A6" s="137" t="s">
        <v>26</v>
      </c>
      <c r="B6" s="138"/>
      <c r="C6" s="138"/>
      <c r="D6" s="138"/>
      <c r="E6" s="138"/>
      <c r="F6" s="138"/>
      <c r="G6" s="138"/>
      <c r="H6" s="138"/>
      <c r="I6" s="128"/>
      <c r="J6" s="2" t="s">
        <v>118</v>
      </c>
      <c r="K6" s="62" t="str">
        <f>IF(K4="","",_xlfn.XLOOKUP(K4,CLIENTES!B:B,CLIENTES!D:D))</f>
        <v/>
      </c>
      <c r="L6" s="63"/>
      <c r="M6" s="63"/>
      <c r="N6" s="64"/>
    </row>
    <row r="7" spans="1:14" x14ac:dyDescent="0.3">
      <c r="A7" s="139" t="s">
        <v>70</v>
      </c>
      <c r="B7" s="140"/>
      <c r="C7" s="86"/>
      <c r="D7" s="86"/>
      <c r="E7" s="141" t="s">
        <v>159</v>
      </c>
      <c r="F7" s="141"/>
      <c r="G7" s="141"/>
      <c r="H7" s="87" t="b">
        <v>0</v>
      </c>
      <c r="I7" s="88"/>
      <c r="J7" s="2" t="s">
        <v>35</v>
      </c>
      <c r="K7" s="62" t="str">
        <f>IF(K4="","",_xlfn.XLOOKUP(K4,CLIENTES!B:B,CLIENTES!E:E))</f>
        <v/>
      </c>
      <c r="L7" s="63"/>
      <c r="M7" s="63"/>
      <c r="N7" s="64"/>
    </row>
    <row r="8" spans="1:14" x14ac:dyDescent="0.3">
      <c r="A8" s="117" t="s">
        <v>72</v>
      </c>
      <c r="B8" s="117"/>
      <c r="C8" s="86"/>
      <c r="D8" s="86"/>
      <c r="E8" s="117" t="s">
        <v>71</v>
      </c>
      <c r="F8" s="117"/>
      <c r="G8" s="117"/>
      <c r="H8" s="121">
        <v>65000</v>
      </c>
      <c r="I8" s="122"/>
      <c r="J8" s="2" t="s">
        <v>60</v>
      </c>
      <c r="K8" s="62" t="str">
        <f>IF(K5="","",_xlfn.XLOOKUP(K4,CLIENTES!B:B,CLIENTES!F:F))</f>
        <v/>
      </c>
      <c r="L8" s="63"/>
      <c r="M8" s="63"/>
      <c r="N8" s="64"/>
    </row>
    <row r="9" spans="1:14" x14ac:dyDescent="0.3">
      <c r="J9" s="8" t="s">
        <v>55</v>
      </c>
      <c r="K9" s="62" t="str">
        <f>IF(K4="","",_xlfn.XLOOKUP(K4,CLIENTES!B:B,CLIENTES!G:G))</f>
        <v/>
      </c>
      <c r="L9" s="63"/>
      <c r="M9" s="63"/>
      <c r="N9" s="64"/>
    </row>
    <row r="10" spans="1:14" x14ac:dyDescent="0.3">
      <c r="A10" s="123" t="s">
        <v>27</v>
      </c>
      <c r="B10" s="120"/>
      <c r="C10" s="120"/>
      <c r="D10" s="120"/>
      <c r="E10" s="120"/>
      <c r="F10" s="120"/>
      <c r="G10" s="120"/>
      <c r="H10" s="120"/>
      <c r="I10" s="120"/>
      <c r="K10" s="7"/>
    </row>
    <row r="11" spans="1:14" x14ac:dyDescent="0.3">
      <c r="A11" s="115" t="s">
        <v>69</v>
      </c>
      <c r="B11" s="115"/>
      <c r="C11" s="115"/>
      <c r="D11" s="115"/>
      <c r="E11" s="115"/>
      <c r="F11" s="117" t="s">
        <v>102</v>
      </c>
      <c r="G11" s="117"/>
      <c r="H11" s="117"/>
      <c r="I11" s="117"/>
      <c r="K11" s="7"/>
    </row>
    <row r="12" spans="1:14" x14ac:dyDescent="0.3">
      <c r="A12" s="117" t="s">
        <v>70</v>
      </c>
      <c r="B12" s="117"/>
      <c r="C12" s="86"/>
      <c r="D12" s="86"/>
      <c r="E12" s="86"/>
      <c r="F12" s="111" t="s">
        <v>102</v>
      </c>
      <c r="G12" s="112"/>
      <c r="H12" s="86"/>
      <c r="I12" s="86"/>
      <c r="K12" s="7"/>
    </row>
    <row r="13" spans="1:14" x14ac:dyDescent="0.3">
      <c r="A13" s="117" t="s">
        <v>72</v>
      </c>
      <c r="B13" s="117"/>
      <c r="C13" s="86"/>
      <c r="D13" s="86"/>
      <c r="E13" s="86"/>
      <c r="F13" s="113"/>
      <c r="G13" s="114"/>
      <c r="H13" s="86"/>
      <c r="I13" s="86"/>
      <c r="K13" s="5"/>
      <c r="L13" s="22"/>
      <c r="M13" s="5"/>
      <c r="N13" s="5"/>
    </row>
    <row r="14" spans="1:14" x14ac:dyDescent="0.3">
      <c r="A14" s="118" t="s">
        <v>73</v>
      </c>
      <c r="B14" s="119"/>
      <c r="C14" s="86">
        <v>30000</v>
      </c>
      <c r="D14" s="86"/>
      <c r="E14" s="86"/>
      <c r="F14" s="115" t="s">
        <v>71</v>
      </c>
      <c r="G14" s="115"/>
      <c r="H14" s="116" t="str">
        <f>IF($H$12="","",VLOOKUP($H$12,LISTAS!$B$2:$C$18,2,FALSE))</f>
        <v/>
      </c>
      <c r="I14" s="116"/>
      <c r="N14" s="21"/>
    </row>
    <row r="15" spans="1:14" x14ac:dyDescent="0.3">
      <c r="A15" s="142" t="s">
        <v>159</v>
      </c>
      <c r="B15" s="142"/>
      <c r="C15" s="108" t="b">
        <v>0</v>
      </c>
      <c r="D15" s="108"/>
      <c r="E15" s="108"/>
      <c r="F15" s="115"/>
      <c r="G15" s="115"/>
      <c r="H15" s="116"/>
      <c r="I15" s="116"/>
      <c r="N15" s="21"/>
    </row>
    <row r="16" spans="1:14" x14ac:dyDescent="0.3">
      <c r="K16" s="130" t="s">
        <v>29</v>
      </c>
      <c r="L16" s="131"/>
      <c r="M16" s="23" t="s">
        <v>71</v>
      </c>
      <c r="N16" s="24" t="s">
        <v>159</v>
      </c>
    </row>
    <row r="17" spans="1:14" x14ac:dyDescent="0.3">
      <c r="A17" s="89" t="s">
        <v>24</v>
      </c>
      <c r="B17" s="90"/>
      <c r="C17" s="90"/>
      <c r="D17" s="90"/>
      <c r="E17" s="90"/>
      <c r="F17" s="90"/>
      <c r="G17" s="90"/>
      <c r="H17" s="90"/>
      <c r="I17" s="91"/>
      <c r="K17" s="132"/>
      <c r="L17" s="133"/>
      <c r="M17" s="86" t="str">
        <f>IF($K$17="","",VLOOKUP($K$17,LISTAS!$I$3:$J$12,2,FALSE))</f>
        <v/>
      </c>
      <c r="N17" s="144" t="b">
        <v>0</v>
      </c>
    </row>
    <row r="18" spans="1:14" x14ac:dyDescent="0.3">
      <c r="A18" s="89" t="s">
        <v>159</v>
      </c>
      <c r="B18" s="90"/>
      <c r="C18" s="91"/>
      <c r="D18" s="15" t="b">
        <v>0</v>
      </c>
      <c r="E18" s="39" t="s">
        <v>113</v>
      </c>
      <c r="F18" s="40"/>
      <c r="G18" s="89" t="s">
        <v>159</v>
      </c>
      <c r="H18" s="143"/>
      <c r="I18" s="15" t="b">
        <v>0</v>
      </c>
      <c r="K18" s="134"/>
      <c r="L18" s="135"/>
      <c r="M18" s="86"/>
      <c r="N18" s="144"/>
    </row>
    <row r="19" spans="1:14" x14ac:dyDescent="0.3">
      <c r="A19" s="109" t="s">
        <v>25</v>
      </c>
      <c r="B19" s="110"/>
      <c r="C19" s="108" t="b">
        <v>0</v>
      </c>
      <c r="D19" s="108"/>
      <c r="E19" s="109" t="s">
        <v>13</v>
      </c>
      <c r="F19" s="148"/>
      <c r="G19" s="110"/>
      <c r="H19" s="87" t="b">
        <v>0</v>
      </c>
      <c r="I19" s="88"/>
      <c r="N19" s="21"/>
    </row>
    <row r="20" spans="1:14" x14ac:dyDescent="0.3">
      <c r="A20" s="109" t="s">
        <v>107</v>
      </c>
      <c r="B20" s="110"/>
      <c r="C20" s="108" t="b">
        <v>0</v>
      </c>
      <c r="D20" s="108"/>
      <c r="E20" s="109" t="s">
        <v>105</v>
      </c>
      <c r="F20" s="148"/>
      <c r="G20" s="110"/>
      <c r="H20" s="87" t="b">
        <v>0</v>
      </c>
      <c r="I20" s="88"/>
      <c r="N20" s="21"/>
    </row>
    <row r="21" spans="1:14" x14ac:dyDescent="0.3">
      <c r="A21" s="109" t="s">
        <v>108</v>
      </c>
      <c r="B21" s="110"/>
      <c r="C21" s="108" t="b">
        <v>0</v>
      </c>
      <c r="D21" s="108"/>
      <c r="E21" s="109" t="s">
        <v>106</v>
      </c>
      <c r="F21" s="148"/>
      <c r="G21" s="110"/>
      <c r="H21" s="87" t="b">
        <v>0</v>
      </c>
      <c r="I21" s="88"/>
      <c r="K21" s="59" t="s">
        <v>124</v>
      </c>
      <c r="L21" s="61"/>
      <c r="M21" s="59" t="s">
        <v>125</v>
      </c>
      <c r="N21" s="61"/>
    </row>
    <row r="22" spans="1:14" x14ac:dyDescent="0.3">
      <c r="A22" s="109" t="s">
        <v>109</v>
      </c>
      <c r="B22" s="110"/>
      <c r="C22" s="108" t="b">
        <v>0</v>
      </c>
      <c r="D22" s="108"/>
      <c r="E22" s="109" t="s">
        <v>101</v>
      </c>
      <c r="F22" s="148"/>
      <c r="G22" s="110"/>
      <c r="H22" s="87" t="b">
        <v>0</v>
      </c>
      <c r="I22" s="88"/>
      <c r="K22" s="132"/>
      <c r="L22" s="133"/>
      <c r="M22" s="145" t="s">
        <v>169</v>
      </c>
      <c r="N22" s="146"/>
    </row>
    <row r="23" spans="1:14" x14ac:dyDescent="0.3">
      <c r="A23" s="109" t="s">
        <v>110</v>
      </c>
      <c r="B23" s="110"/>
      <c r="C23" s="108" t="b">
        <v>0</v>
      </c>
      <c r="D23" s="108"/>
      <c r="E23" s="104" t="s">
        <v>104</v>
      </c>
      <c r="F23" s="105"/>
      <c r="G23" s="106"/>
      <c r="H23" s="87" t="b">
        <v>0</v>
      </c>
      <c r="I23" s="88"/>
      <c r="K23" s="134"/>
      <c r="L23" s="135"/>
      <c r="M23" s="147"/>
      <c r="N23" s="55"/>
    </row>
    <row r="24" spans="1:14" x14ac:dyDescent="0.3">
      <c r="A24" s="109" t="s">
        <v>111</v>
      </c>
      <c r="B24" s="110"/>
      <c r="C24" s="108" t="b">
        <v>0</v>
      </c>
      <c r="D24" s="108"/>
      <c r="E24" s="104" t="s">
        <v>99</v>
      </c>
      <c r="F24" s="105"/>
      <c r="G24" s="106"/>
      <c r="H24" s="87" t="b">
        <v>0</v>
      </c>
      <c r="I24" s="88"/>
      <c r="N24" s="21"/>
    </row>
    <row r="25" spans="1:14" x14ac:dyDescent="0.3">
      <c r="A25" s="109" t="s">
        <v>103</v>
      </c>
      <c r="B25" s="110"/>
      <c r="C25" s="108" t="b">
        <v>0</v>
      </c>
      <c r="D25" s="108"/>
      <c r="E25" s="104" t="s">
        <v>100</v>
      </c>
      <c r="F25" s="105"/>
      <c r="G25" s="106"/>
      <c r="H25" s="87" t="b">
        <v>0</v>
      </c>
      <c r="I25" s="88"/>
      <c r="N25" s="21"/>
    </row>
    <row r="26" spans="1:14" x14ac:dyDescent="0.3">
      <c r="A26" s="109" t="s">
        <v>112</v>
      </c>
      <c r="B26" s="110"/>
      <c r="C26" s="108" t="b">
        <v>0</v>
      </c>
      <c r="D26" s="108"/>
      <c r="E26" s="104" t="s">
        <v>16</v>
      </c>
      <c r="F26" s="105"/>
      <c r="G26" s="106"/>
      <c r="H26" s="87" t="b">
        <v>0</v>
      </c>
      <c r="I26" s="88"/>
      <c r="N26" s="21"/>
    </row>
    <row r="27" spans="1:14" x14ac:dyDescent="0.3">
      <c r="A27" s="107" t="s">
        <v>79</v>
      </c>
      <c r="B27" s="107"/>
      <c r="C27" s="98">
        <v>2500</v>
      </c>
      <c r="D27" s="99"/>
      <c r="E27" s="104" t="s">
        <v>79</v>
      </c>
      <c r="F27" s="105"/>
      <c r="G27" s="106"/>
      <c r="H27" s="100">
        <v>3750</v>
      </c>
      <c r="I27" s="101"/>
      <c r="N27" s="21"/>
    </row>
    <row r="28" spans="1:14" x14ac:dyDescent="0.3">
      <c r="A28" s="107" t="s">
        <v>80</v>
      </c>
      <c r="B28" s="107"/>
      <c r="C28" s="96" t="str">
        <f>IF(COUNTIF(C19:C26,TRUE)=0, "", C27 * COUNTIF(C19:C26,TRUE))</f>
        <v/>
      </c>
      <c r="D28" s="97"/>
      <c r="E28" s="104" t="s">
        <v>80</v>
      </c>
      <c r="F28" s="105"/>
      <c r="G28" s="106"/>
      <c r="H28" s="102" t="str">
        <f>IF(COUNTIF(H19:I26,TRUE)=0, "", H27 * COUNTIF(H19:I26,TRUE))</f>
        <v/>
      </c>
      <c r="I28" s="103"/>
      <c r="N28" s="21"/>
    </row>
    <row r="29" spans="1:14" x14ac:dyDescent="0.3">
      <c r="A29" s="92" t="s">
        <v>77</v>
      </c>
      <c r="B29" s="93"/>
      <c r="C29" s="94"/>
      <c r="D29" s="17" t="b">
        <v>0</v>
      </c>
      <c r="E29" s="95" t="s">
        <v>78</v>
      </c>
      <c r="F29" s="95"/>
      <c r="G29" s="95"/>
      <c r="H29" s="95"/>
      <c r="I29" s="16" t="b">
        <v>0</v>
      </c>
      <c r="N29" s="21"/>
    </row>
    <row r="30" spans="1:14" x14ac:dyDescent="0.3">
      <c r="A30" s="86"/>
      <c r="B30" s="86"/>
      <c r="C30" s="86"/>
      <c r="D30" s="3" t="str">
        <f>IF($A$30="","",VLOOKUP($A$30,LISTAS!$B$21:$C$27,2,FALSE))</f>
        <v/>
      </c>
      <c r="E30" s="86"/>
      <c r="F30" s="86"/>
      <c r="G30" s="86"/>
      <c r="H30" s="86"/>
      <c r="I30" s="4" t="str">
        <f>IF($E$30="","",VLOOKUP($E$30,LISTAS!$E$26:$F$32,2,FALSE))</f>
        <v/>
      </c>
      <c r="N30" s="21"/>
    </row>
    <row r="31" spans="1:14" x14ac:dyDescent="0.3">
      <c r="D31" s="20"/>
      <c r="E31" s="7"/>
      <c r="F31" s="7"/>
      <c r="G31" s="7"/>
      <c r="H31" s="7"/>
      <c r="N31" s="21"/>
    </row>
    <row r="32" spans="1:14" x14ac:dyDescent="0.3">
      <c r="N32" s="21"/>
    </row>
    <row r="33" spans="14:14" x14ac:dyDescent="0.3">
      <c r="N33" s="21"/>
    </row>
    <row r="34" spans="14:14" x14ac:dyDescent="0.3">
      <c r="N34" s="21"/>
    </row>
    <row r="35" spans="14:14" x14ac:dyDescent="0.3">
      <c r="N35" s="20"/>
    </row>
    <row r="36" spans="14:14" x14ac:dyDescent="0.3">
      <c r="N36" s="21"/>
    </row>
    <row r="37" spans="14:14" x14ac:dyDescent="0.3">
      <c r="N37" s="21"/>
    </row>
    <row r="38" spans="14:14" x14ac:dyDescent="0.3">
      <c r="N38" s="21"/>
    </row>
    <row r="39" spans="14:14" x14ac:dyDescent="0.3">
      <c r="N39" s="21"/>
    </row>
    <row r="40" spans="14:14" x14ac:dyDescent="0.3">
      <c r="N40" s="21"/>
    </row>
    <row r="41" spans="14:14" x14ac:dyDescent="0.3">
      <c r="N41" s="21"/>
    </row>
    <row r="42" spans="14:14" x14ac:dyDescent="0.3">
      <c r="N42" s="21"/>
    </row>
    <row r="43" spans="14:14" x14ac:dyDescent="0.3">
      <c r="N43" s="21"/>
    </row>
    <row r="44" spans="14:14" x14ac:dyDescent="0.3">
      <c r="N44" s="21"/>
    </row>
    <row r="45" spans="14:14" x14ac:dyDescent="0.3">
      <c r="N45" s="21"/>
    </row>
    <row r="46" spans="14:14" x14ac:dyDescent="0.3">
      <c r="N46" s="21"/>
    </row>
    <row r="47" spans="14:14" x14ac:dyDescent="0.3">
      <c r="N47" s="21"/>
    </row>
    <row r="48" spans="14:14" x14ac:dyDescent="0.3">
      <c r="N48" s="21"/>
    </row>
    <row r="49" spans="14:14" x14ac:dyDescent="0.3">
      <c r="N49" s="21"/>
    </row>
    <row r="50" spans="14:14" x14ac:dyDescent="0.3">
      <c r="N50" s="21"/>
    </row>
    <row r="51" spans="14:14" x14ac:dyDescent="0.3">
      <c r="N51" s="21"/>
    </row>
    <row r="52" spans="14:14" x14ac:dyDescent="0.3">
      <c r="N52" s="21"/>
    </row>
    <row r="53" spans="14:14" x14ac:dyDescent="0.3">
      <c r="N53" s="21"/>
    </row>
    <row r="54" spans="14:14" x14ac:dyDescent="0.3">
      <c r="N54" s="21"/>
    </row>
    <row r="55" spans="14:14" x14ac:dyDescent="0.3">
      <c r="N55" s="21"/>
    </row>
    <row r="56" spans="14:14" x14ac:dyDescent="0.3">
      <c r="N56" s="21"/>
    </row>
  </sheetData>
  <mergeCells count="95">
    <mergeCell ref="G18:H18"/>
    <mergeCell ref="N17:N18"/>
    <mergeCell ref="K21:L21"/>
    <mergeCell ref="M21:N21"/>
    <mergeCell ref="K22:L23"/>
    <mergeCell ref="M22:N23"/>
    <mergeCell ref="H20:I20"/>
    <mergeCell ref="H21:I21"/>
    <mergeCell ref="H22:I22"/>
    <mergeCell ref="H23:I23"/>
    <mergeCell ref="E19:G19"/>
    <mergeCell ref="E20:G20"/>
    <mergeCell ref="E21:G21"/>
    <mergeCell ref="E22:G22"/>
    <mergeCell ref="E23:G23"/>
    <mergeCell ref="K16:L16"/>
    <mergeCell ref="K17:L18"/>
    <mergeCell ref="M17:M18"/>
    <mergeCell ref="G4:I4"/>
    <mergeCell ref="G3:I3"/>
    <mergeCell ref="K8:N8"/>
    <mergeCell ref="K9:N9"/>
    <mergeCell ref="A17:I17"/>
    <mergeCell ref="C8:D8"/>
    <mergeCell ref="A6:I6"/>
    <mergeCell ref="A7:B7"/>
    <mergeCell ref="C7:D7"/>
    <mergeCell ref="E7:G7"/>
    <mergeCell ref="E8:G8"/>
    <mergeCell ref="A15:B15"/>
    <mergeCell ref="C15:E15"/>
    <mergeCell ref="G2:I2"/>
    <mergeCell ref="B4:D4"/>
    <mergeCell ref="E4:F4"/>
    <mergeCell ref="B2:D2"/>
    <mergeCell ref="E2:F2"/>
    <mergeCell ref="E3:F3"/>
    <mergeCell ref="B3:D3"/>
    <mergeCell ref="A8:B8"/>
    <mergeCell ref="H8:I8"/>
    <mergeCell ref="H7:I7"/>
    <mergeCell ref="A10:I10"/>
    <mergeCell ref="A11:E11"/>
    <mergeCell ref="F11:I11"/>
    <mergeCell ref="J2:N2"/>
    <mergeCell ref="K4:N4"/>
    <mergeCell ref="K5:N5"/>
    <mergeCell ref="K6:N6"/>
    <mergeCell ref="K7:N7"/>
    <mergeCell ref="F12:G13"/>
    <mergeCell ref="F14:G15"/>
    <mergeCell ref="H12:I13"/>
    <mergeCell ref="H14:I15"/>
    <mergeCell ref="A12:B12"/>
    <mergeCell ref="C12:E12"/>
    <mergeCell ref="A13:B13"/>
    <mergeCell ref="A14:B14"/>
    <mergeCell ref="C13:E13"/>
    <mergeCell ref="C14:E14"/>
    <mergeCell ref="A19:B19"/>
    <mergeCell ref="A20:B20"/>
    <mergeCell ref="A21:B21"/>
    <mergeCell ref="A22:B22"/>
    <mergeCell ref="A23:B23"/>
    <mergeCell ref="H25:I25"/>
    <mergeCell ref="A24:B24"/>
    <mergeCell ref="A25:B25"/>
    <mergeCell ref="A26:B26"/>
    <mergeCell ref="C24:D24"/>
    <mergeCell ref="C25:D25"/>
    <mergeCell ref="C26:D26"/>
    <mergeCell ref="E24:G24"/>
    <mergeCell ref="E25:G25"/>
    <mergeCell ref="E26:G26"/>
    <mergeCell ref="C20:D20"/>
    <mergeCell ref="C21:D21"/>
    <mergeCell ref="C22:D22"/>
    <mergeCell ref="C23:D23"/>
    <mergeCell ref="H24:I24"/>
    <mergeCell ref="A30:C30"/>
    <mergeCell ref="E30:H30"/>
    <mergeCell ref="H26:I26"/>
    <mergeCell ref="A18:C18"/>
    <mergeCell ref="A29:C29"/>
    <mergeCell ref="E29:H29"/>
    <mergeCell ref="C28:D28"/>
    <mergeCell ref="C27:D27"/>
    <mergeCell ref="H27:I27"/>
    <mergeCell ref="H28:I28"/>
    <mergeCell ref="E27:G27"/>
    <mergeCell ref="E28:G28"/>
    <mergeCell ref="A27:B27"/>
    <mergeCell ref="A28:B28"/>
    <mergeCell ref="H19:I19"/>
    <mergeCell ref="C19:D1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LIMPIAR">
                <anchor moveWithCells="1" sizeWithCells="1">
                  <from>
                    <xdr:col>12</xdr:col>
                    <xdr:colOff>533400</xdr:colOff>
                    <xdr:row>9</xdr:row>
                    <xdr:rowOff>152400</xdr:rowOff>
                  </from>
                  <to>
                    <xdr:col>13</xdr:col>
                    <xdr:colOff>731520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5" name="Button 19">
              <controlPr defaultSize="0" print="0" autoFill="0" autoPict="0" macro="[0]!MENU">
                <anchor moveWithCells="1" sizeWithCells="1">
                  <from>
                    <xdr:col>10</xdr:col>
                    <xdr:colOff>175260</xdr:colOff>
                    <xdr:row>25</xdr:row>
                    <xdr:rowOff>121920</xdr:rowOff>
                  </from>
                  <to>
                    <xdr:col>11</xdr:col>
                    <xdr:colOff>45720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" name="Button 24">
              <controlPr defaultSize="0" print="0" autoFill="0" autoPict="0" macro="[0]!IRA">
                <anchor moveWithCells="1" sizeWithCells="1">
                  <from>
                    <xdr:col>12</xdr:col>
                    <xdr:colOff>640080</xdr:colOff>
                    <xdr:row>25</xdr:row>
                    <xdr:rowOff>144780</xdr:rowOff>
                  </from>
                  <to>
                    <xdr:col>13</xdr:col>
                    <xdr:colOff>1013460</xdr:colOff>
                    <xdr:row>27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7" name="Check Box 34">
              <controlPr defaultSize="0" autoFill="0" autoLine="0" autoPict="0">
                <anchor moveWithCells="1">
                  <from>
                    <xdr:col>8</xdr:col>
                    <xdr:colOff>563880</xdr:colOff>
                    <xdr:row>16</xdr:row>
                    <xdr:rowOff>137160</xdr:rowOff>
                  </from>
                  <to>
                    <xdr:col>9</xdr:col>
                    <xdr:colOff>99060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8" name="Check Box 35">
              <controlPr defaultSize="0" autoFill="0" autoLine="0" autoPict="0">
                <anchor moveWithCells="1">
                  <from>
                    <xdr:col>3</xdr:col>
                    <xdr:colOff>495300</xdr:colOff>
                    <xdr:row>16</xdr:row>
                    <xdr:rowOff>182880</xdr:rowOff>
                  </from>
                  <to>
                    <xdr:col>4</xdr:col>
                    <xdr:colOff>60960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9" name="Check Box 36">
              <controlPr defaultSize="0" autoFill="0" autoLine="0" autoPict="0">
                <anchor moveWithCells="1">
                  <from>
                    <xdr:col>2</xdr:col>
                    <xdr:colOff>297180</xdr:colOff>
                    <xdr:row>13</xdr:row>
                    <xdr:rowOff>152400</xdr:rowOff>
                  </from>
                  <to>
                    <xdr:col>2</xdr:col>
                    <xdr:colOff>716280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10" name="Check Box 37">
              <controlPr defaultSize="0" autoFill="0" autoLine="0" autoPict="0">
                <anchor moveWithCells="1">
                  <from>
                    <xdr:col>3</xdr:col>
                    <xdr:colOff>609600</xdr:colOff>
                    <xdr:row>27</xdr:row>
                    <xdr:rowOff>182880</xdr:rowOff>
                  </from>
                  <to>
                    <xdr:col>4</xdr:col>
                    <xdr:colOff>175260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11" name="Check Box 38">
              <controlPr defaultSize="0" autoFill="0" autoLine="0" autoPict="0">
                <anchor moveWithCells="1">
                  <from>
                    <xdr:col>8</xdr:col>
                    <xdr:colOff>685800</xdr:colOff>
                    <xdr:row>27</xdr:row>
                    <xdr:rowOff>144780</xdr:rowOff>
                  </from>
                  <to>
                    <xdr:col>9</xdr:col>
                    <xdr:colOff>220980</xdr:colOff>
                    <xdr:row>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2" name="Check Box 39">
              <controlPr defaultSize="0" autoFill="0" autoLine="0" autoPict="0">
                <anchor moveWithCells="1">
                  <from>
                    <xdr:col>13</xdr:col>
                    <xdr:colOff>68580</xdr:colOff>
                    <xdr:row>16</xdr:row>
                    <xdr:rowOff>60960</xdr:rowOff>
                  </from>
                  <to>
                    <xdr:col>13</xdr:col>
                    <xdr:colOff>487680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13" name="Check Box 40">
              <controlPr defaultSize="0" autoFill="0" autoLine="0" autoPict="0">
                <anchor moveWithCells="1">
                  <from>
                    <xdr:col>7</xdr:col>
                    <xdr:colOff>198120</xdr:colOff>
                    <xdr:row>5</xdr:row>
                    <xdr:rowOff>190500</xdr:rowOff>
                  </from>
                  <to>
                    <xdr:col>7</xdr:col>
                    <xdr:colOff>632460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4" name="Button 46">
              <controlPr defaultSize="0" print="0" autoFill="0" autoPict="0" macro="[0]!GenerarFactura">
                <anchor moveWithCells="1" sizeWithCells="1">
                  <from>
                    <xdr:col>10</xdr:col>
                    <xdr:colOff>678180</xdr:colOff>
                    <xdr:row>9</xdr:row>
                    <xdr:rowOff>175260</xdr:rowOff>
                  </from>
                  <to>
                    <xdr:col>11</xdr:col>
                    <xdr:colOff>373380</xdr:colOff>
                    <xdr:row>11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500-000000000000}">
          <x14:formula1>
            <xm:f>LISTAS!$B$2:$B$18</xm:f>
          </x14:formula1>
          <xm:sqref>H12:I13</xm:sqref>
        </x14:dataValidation>
        <x14:dataValidation type="list" allowBlank="1" showInputMessage="1" showErrorMessage="1" xr:uid="{00000000-0002-0000-0500-000001000000}">
          <x14:formula1>
            <xm:f>LISTAS!$E$3:$E$5</xm:f>
          </x14:formula1>
          <xm:sqref>C7:D7 C12:E12</xm:sqref>
        </x14:dataValidation>
        <x14:dataValidation type="list" allowBlank="1" showInputMessage="1" showErrorMessage="1" xr:uid="{00000000-0002-0000-0500-000002000000}">
          <x14:formula1>
            <xm:f>LISTAS!$B$21:$B$27</xm:f>
          </x14:formula1>
          <xm:sqref>A30:C30</xm:sqref>
        </x14:dataValidation>
        <x14:dataValidation type="list" allowBlank="1" showInputMessage="1" showErrorMessage="1" xr:uid="{00000000-0002-0000-0500-000003000000}">
          <x14:formula1>
            <xm:f>LISTAS!$E$26:$E$32</xm:f>
          </x14:formula1>
          <xm:sqref>E30:H30</xm:sqref>
        </x14:dataValidation>
        <x14:dataValidation type="list" allowBlank="1" showInputMessage="1" showErrorMessage="1" xr:uid="{00000000-0002-0000-0500-000004000000}">
          <x14:formula1>
            <xm:f>LISTAS!$I$3:$I$12</xm:f>
          </x14:formula1>
          <xm:sqref>K17:L18</xm:sqref>
        </x14:dataValidation>
        <x14:dataValidation type="list" allowBlank="1" showInputMessage="1" showErrorMessage="1" xr:uid="{00000000-0002-0000-0500-000005000000}">
          <x14:formula1>
            <xm:f>LISTAS!$L$6:$L$8</xm:f>
          </x14:formula1>
          <xm:sqref>C13:E13 C8:D8</xm:sqref>
        </x14:dataValidation>
        <x14:dataValidation type="list" allowBlank="1" showInputMessage="1" showErrorMessage="1" xr:uid="{00000000-0002-0000-0500-000006000000}">
          <x14:formula1>
            <xm:f>EMPLEADOS!$B$2:$B$10</xm:f>
          </x14:formula1>
          <xm:sqref>L22:L23 K23 K22</xm:sqref>
        </x14:dataValidation>
        <x14:dataValidation type="list" allowBlank="1" showInputMessage="1" showErrorMessage="1" xr:uid="{6D68943A-1FD6-40EE-B3DE-D88E1ED634FC}">
          <x14:formula1>
            <xm:f>CLIENTES!$B$3:$B$10</xm:f>
          </x14:formula1>
          <xm:sqref>K4:N4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G7"/>
  <sheetViews>
    <sheetView workbookViewId="0">
      <selection activeCell="F13" sqref="F13"/>
    </sheetView>
  </sheetViews>
  <sheetFormatPr baseColWidth="10" defaultRowHeight="14.4" x14ac:dyDescent="0.3"/>
  <cols>
    <col min="1" max="1" width="8.6640625" customWidth="1"/>
    <col min="2" max="2" width="14.109375" customWidth="1"/>
    <col min="3" max="3" width="16.88671875" customWidth="1"/>
    <col min="6" max="6" width="26.88671875" customWidth="1"/>
    <col min="7" max="7" width="19.88671875" customWidth="1"/>
  </cols>
  <sheetData>
    <row r="1" spans="1:7" x14ac:dyDescent="0.3">
      <c r="A1" s="1" t="s">
        <v>30</v>
      </c>
      <c r="B1" s="1" t="s">
        <v>31</v>
      </c>
      <c r="C1" s="1" t="s">
        <v>32</v>
      </c>
      <c r="D1" s="1" t="s">
        <v>33</v>
      </c>
      <c r="E1" s="1" t="s">
        <v>34</v>
      </c>
      <c r="F1" s="1" t="s">
        <v>35</v>
      </c>
      <c r="G1" s="1" t="s">
        <v>36</v>
      </c>
    </row>
    <row r="2" spans="1:7" x14ac:dyDescent="0.3">
      <c r="A2" s="1">
        <v>1</v>
      </c>
      <c r="B2" s="1" t="s">
        <v>142</v>
      </c>
      <c r="C2" s="1" t="s">
        <v>38</v>
      </c>
      <c r="D2" s="1">
        <v>458721</v>
      </c>
      <c r="E2" s="1">
        <v>3122214453</v>
      </c>
      <c r="F2" s="28" t="s">
        <v>143</v>
      </c>
      <c r="G2" s="1" t="s">
        <v>37</v>
      </c>
    </row>
    <row r="3" spans="1:7" x14ac:dyDescent="0.3">
      <c r="A3" s="1">
        <v>2</v>
      </c>
      <c r="B3" t="s">
        <v>166</v>
      </c>
      <c r="C3" s="1" t="s">
        <v>147</v>
      </c>
      <c r="D3" s="1">
        <v>5645645</v>
      </c>
      <c r="E3" s="1">
        <v>455345345</v>
      </c>
      <c r="F3" s="28" t="s">
        <v>167</v>
      </c>
      <c r="G3" s="1" t="s">
        <v>168</v>
      </c>
    </row>
    <row r="4" spans="1:7" x14ac:dyDescent="0.3">
      <c r="A4" s="1">
        <v>3</v>
      </c>
      <c r="B4" s="1"/>
      <c r="C4" s="1"/>
      <c r="D4" s="1"/>
      <c r="E4" s="1"/>
      <c r="F4" s="1"/>
      <c r="G4" s="1"/>
    </row>
    <row r="5" spans="1:7" x14ac:dyDescent="0.3">
      <c r="A5" s="1">
        <v>4</v>
      </c>
      <c r="B5" s="1"/>
      <c r="C5" s="1"/>
      <c r="D5" s="1"/>
      <c r="E5" s="1"/>
      <c r="F5" s="1"/>
      <c r="G5" s="1"/>
    </row>
    <row r="6" spans="1:7" x14ac:dyDescent="0.3">
      <c r="A6" s="1">
        <v>5</v>
      </c>
      <c r="B6" s="1"/>
      <c r="C6" s="1"/>
      <c r="D6" s="1"/>
      <c r="E6" s="1"/>
      <c r="F6" s="1"/>
      <c r="G6" s="1"/>
    </row>
    <row r="7" spans="1:7" x14ac:dyDescent="0.3">
      <c r="A7" s="27"/>
      <c r="B7" s="27"/>
    </row>
  </sheetData>
  <hyperlinks>
    <hyperlink ref="F2" r:id="rId1" xr:uid="{947DCEC6-14F3-4A8E-8A3D-A810C74F494F}"/>
    <hyperlink ref="F3" r:id="rId2" xr:uid="{7B8E67F5-8316-437B-A10A-27273F6EB7CB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MENU">
                <anchor moveWithCells="1" sizeWithCells="1">
                  <from>
                    <xdr:col>7</xdr:col>
                    <xdr:colOff>60960</xdr:colOff>
                    <xdr:row>1</xdr:row>
                    <xdr:rowOff>22860</xdr:rowOff>
                  </from>
                  <to>
                    <xdr:col>8</xdr:col>
                    <xdr:colOff>251460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LISTAS!$H$3:$H$7</xm:f>
          </x14:formula1>
          <xm:sqref>C2:C6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C2EC-9AE5-49A1-82EC-46750AC4804F}">
  <sheetPr codeName="Hoja4">
    <pageSetUpPr fitToPage="1"/>
  </sheetPr>
  <dimension ref="E1:K20"/>
  <sheetViews>
    <sheetView workbookViewId="0">
      <selection activeCell="M10" sqref="M10"/>
    </sheetView>
  </sheetViews>
  <sheetFormatPr baseColWidth="10" defaultRowHeight="14.4" x14ac:dyDescent="0.3"/>
  <sheetData>
    <row r="1" spans="5:11" x14ac:dyDescent="0.3">
      <c r="E1" s="152" t="s">
        <v>161</v>
      </c>
      <c r="F1" s="153"/>
      <c r="G1" s="153"/>
      <c r="H1" s="153"/>
      <c r="I1" s="153"/>
      <c r="J1" s="153"/>
      <c r="K1" s="154"/>
    </row>
    <row r="2" spans="5:11" x14ac:dyDescent="0.3">
      <c r="E2" s="155"/>
      <c r="F2" s="156"/>
      <c r="G2" s="156"/>
      <c r="H2" s="156"/>
      <c r="I2" s="156"/>
      <c r="J2" s="156"/>
      <c r="K2" s="157"/>
    </row>
    <row r="3" spans="5:11" ht="15" thickBot="1" x14ac:dyDescent="0.35">
      <c r="E3" s="158"/>
      <c r="F3" s="159"/>
      <c r="G3" s="159"/>
      <c r="H3" s="159"/>
      <c r="I3" s="159"/>
      <c r="J3" s="159"/>
      <c r="K3" s="160"/>
    </row>
    <row r="4" spans="5:11" ht="15" thickBot="1" x14ac:dyDescent="0.35">
      <c r="E4" s="161" t="s">
        <v>160</v>
      </c>
      <c r="F4" s="162"/>
      <c r="G4" s="163">
        <v>4</v>
      </c>
      <c r="H4" s="164"/>
      <c r="I4" s="161" t="s">
        <v>162</v>
      </c>
      <c r="J4" s="162"/>
      <c r="K4" s="47"/>
    </row>
    <row r="5" spans="5:11" ht="15" thickBot="1" x14ac:dyDescent="0.35">
      <c r="E5" s="161" t="s">
        <v>52</v>
      </c>
      <c r="F5" s="162"/>
      <c r="G5" s="163"/>
      <c r="H5" s="164"/>
      <c r="I5" s="161" t="s">
        <v>53</v>
      </c>
      <c r="J5" s="162"/>
      <c r="K5" s="47"/>
    </row>
    <row r="6" spans="5:11" ht="15" thickBot="1" x14ac:dyDescent="0.35">
      <c r="E6" s="161" t="s">
        <v>35</v>
      </c>
      <c r="F6" s="162"/>
      <c r="G6" s="163"/>
      <c r="H6" s="164"/>
      <c r="I6" s="161" t="s">
        <v>60</v>
      </c>
      <c r="J6" s="162"/>
      <c r="K6" s="47"/>
    </row>
    <row r="7" spans="5:11" ht="15" thickBot="1" x14ac:dyDescent="0.35">
      <c r="E7" s="165"/>
      <c r="F7" s="54"/>
      <c r="K7" s="44"/>
    </row>
    <row r="8" spans="5:11" ht="15" thickBot="1" x14ac:dyDescent="0.35">
      <c r="E8" s="166" t="s">
        <v>124</v>
      </c>
      <c r="F8" s="167"/>
      <c r="G8" s="163"/>
      <c r="H8" s="164"/>
      <c r="I8" s="166" t="s">
        <v>68</v>
      </c>
      <c r="J8" s="167"/>
      <c r="K8" s="52"/>
    </row>
    <row r="9" spans="5:11" x14ac:dyDescent="0.3">
      <c r="E9" s="169" t="s">
        <v>50</v>
      </c>
      <c r="F9" s="170"/>
      <c r="G9" s="168" t="s">
        <v>102</v>
      </c>
      <c r="H9" s="168"/>
      <c r="I9" s="170" t="s">
        <v>163</v>
      </c>
      <c r="J9" s="170"/>
      <c r="K9" s="48" t="s">
        <v>164</v>
      </c>
    </row>
    <row r="10" spans="5:11" x14ac:dyDescent="0.3">
      <c r="E10" s="149"/>
      <c r="F10" s="150"/>
      <c r="G10" s="54"/>
      <c r="H10" s="54"/>
      <c r="I10" s="54"/>
      <c r="J10" s="54"/>
      <c r="K10" s="49"/>
    </row>
    <row r="11" spans="5:11" x14ac:dyDescent="0.3">
      <c r="E11" s="149"/>
      <c r="F11" s="150"/>
      <c r="G11" s="54"/>
      <c r="H11" s="54"/>
      <c r="I11" s="54"/>
      <c r="J11" s="54"/>
      <c r="K11" s="49"/>
    </row>
    <row r="12" spans="5:11" x14ac:dyDescent="0.3">
      <c r="E12" s="149"/>
      <c r="F12" s="150"/>
      <c r="G12" s="54"/>
      <c r="H12" s="54"/>
      <c r="I12" s="54"/>
      <c r="J12" s="54"/>
      <c r="K12" s="49"/>
    </row>
    <row r="13" spans="5:11" x14ac:dyDescent="0.3">
      <c r="E13" s="149"/>
      <c r="F13" s="150"/>
      <c r="G13" s="54"/>
      <c r="H13" s="54"/>
      <c r="I13" s="54"/>
      <c r="J13" s="54"/>
      <c r="K13" s="49"/>
    </row>
    <row r="14" spans="5:11" x14ac:dyDescent="0.3">
      <c r="E14" s="149"/>
      <c r="F14" s="150"/>
      <c r="G14" s="54"/>
      <c r="H14" s="54"/>
      <c r="I14" s="54"/>
      <c r="J14" s="54"/>
      <c r="K14" s="49"/>
    </row>
    <row r="15" spans="5:11" x14ac:dyDescent="0.3">
      <c r="E15" s="149"/>
      <c r="F15" s="150"/>
      <c r="G15" s="54"/>
      <c r="H15" s="54"/>
      <c r="K15" s="49"/>
    </row>
    <row r="16" spans="5:11" x14ac:dyDescent="0.3">
      <c r="E16" s="149"/>
      <c r="F16" s="150"/>
      <c r="G16" s="54"/>
      <c r="H16" s="54"/>
      <c r="K16" s="49"/>
    </row>
    <row r="17" spans="5:11" x14ac:dyDescent="0.3">
      <c r="E17" s="149"/>
      <c r="F17" s="150"/>
      <c r="G17" s="54"/>
      <c r="H17" s="54"/>
      <c r="I17" s="54"/>
      <c r="J17" s="54"/>
      <c r="K17" s="49"/>
    </row>
    <row r="18" spans="5:11" x14ac:dyDescent="0.3">
      <c r="E18" s="149"/>
      <c r="F18" s="150"/>
      <c r="G18" s="54"/>
      <c r="H18" s="54"/>
      <c r="I18" s="54"/>
      <c r="J18" s="54"/>
      <c r="K18" s="49"/>
    </row>
    <row r="19" spans="5:11" x14ac:dyDescent="0.3">
      <c r="E19" s="149"/>
      <c r="F19" s="150"/>
      <c r="G19" s="54"/>
      <c r="H19" s="54"/>
      <c r="I19" s="54"/>
      <c r="J19" s="54"/>
      <c r="K19" s="49"/>
    </row>
    <row r="20" spans="5:11" ht="15" thickBot="1" x14ac:dyDescent="0.35">
      <c r="E20" s="45"/>
      <c r="F20" s="46"/>
      <c r="G20" s="46"/>
      <c r="H20" s="46"/>
      <c r="I20" s="151" t="s">
        <v>80</v>
      </c>
      <c r="J20" s="151"/>
      <c r="K20" s="50"/>
    </row>
  </sheetData>
  <mergeCells count="46">
    <mergeCell ref="I19:J19"/>
    <mergeCell ref="I12:J12"/>
    <mergeCell ref="I13:J13"/>
    <mergeCell ref="I14:J14"/>
    <mergeCell ref="I17:J17"/>
    <mergeCell ref="I18:J18"/>
    <mergeCell ref="I11:J11"/>
    <mergeCell ref="G6:H6"/>
    <mergeCell ref="I6:J6"/>
    <mergeCell ref="E7:F7"/>
    <mergeCell ref="E8:F8"/>
    <mergeCell ref="I8:J8"/>
    <mergeCell ref="E10:F10"/>
    <mergeCell ref="E11:F11"/>
    <mergeCell ref="G9:H9"/>
    <mergeCell ref="G10:H10"/>
    <mergeCell ref="E9:F9"/>
    <mergeCell ref="I9:J9"/>
    <mergeCell ref="I10:J10"/>
    <mergeCell ref="G5:H5"/>
    <mergeCell ref="G8:H8"/>
    <mergeCell ref="G17:H17"/>
    <mergeCell ref="G18:H18"/>
    <mergeCell ref="G15:H15"/>
    <mergeCell ref="G16:H16"/>
    <mergeCell ref="I20:J20"/>
    <mergeCell ref="E1:K3"/>
    <mergeCell ref="E4:F4"/>
    <mergeCell ref="I4:J4"/>
    <mergeCell ref="E5:F5"/>
    <mergeCell ref="I5:J5"/>
    <mergeCell ref="E6:F6"/>
    <mergeCell ref="E16:F16"/>
    <mergeCell ref="E17:F17"/>
    <mergeCell ref="E18:F18"/>
    <mergeCell ref="E19:F19"/>
    <mergeCell ref="G11:H11"/>
    <mergeCell ref="G12:H12"/>
    <mergeCell ref="G13:H13"/>
    <mergeCell ref="G14:H14"/>
    <mergeCell ref="G4:H4"/>
    <mergeCell ref="E12:F12"/>
    <mergeCell ref="E13:F13"/>
    <mergeCell ref="E14:F14"/>
    <mergeCell ref="E15:F15"/>
    <mergeCell ref="G19:H19"/>
  </mergeCells>
  <printOptions horizontalCentered="1" verticalCentered="1"/>
  <pageMargins left="0.3" right="0.3" top="0.5" bottom="0.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4" r:id="rId4" name="Button 4">
              <controlPr defaultSize="0" print="0" autoFill="0" autoPict="0" macro="[0]!LIMPIARFACT">
                <anchor moveWithCells="1" sizeWithCells="1">
                  <from>
                    <xdr:col>12</xdr:col>
                    <xdr:colOff>228600</xdr:colOff>
                    <xdr:row>7</xdr:row>
                    <xdr:rowOff>30480</xdr:rowOff>
                  </from>
                  <to>
                    <xdr:col>14</xdr:col>
                    <xdr:colOff>38100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EnviarWhatsApp">
                <anchor moveWithCells="1" sizeWithCells="1">
                  <from>
                    <xdr:col>12</xdr:col>
                    <xdr:colOff>251460</xdr:colOff>
                    <xdr:row>10</xdr:row>
                    <xdr:rowOff>152400</xdr:rowOff>
                  </from>
                  <to>
                    <xdr:col>14</xdr:col>
                    <xdr:colOff>68580</xdr:colOff>
                    <xdr:row>13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6" name="Button 6">
              <controlPr defaultSize="0" print="0" autoFill="0" autoPict="0" macro="[0]!DescargarFacturaPDF">
                <anchor moveWithCells="1" sizeWithCells="1">
                  <from>
                    <xdr:col>12</xdr:col>
                    <xdr:colOff>297180</xdr:colOff>
                    <xdr:row>14</xdr:row>
                    <xdr:rowOff>30480</xdr:rowOff>
                  </from>
                  <to>
                    <xdr:col>14</xdr:col>
                    <xdr:colOff>68580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7" name="Button 7">
              <controlPr defaultSize="0" print="0" autoFill="0" autoPict="0" macro="[0]!CrearSolicitudDesdeFactura">
                <anchor moveWithCells="1" sizeWithCells="1">
                  <from>
                    <xdr:col>12</xdr:col>
                    <xdr:colOff>190500</xdr:colOff>
                    <xdr:row>3</xdr:row>
                    <xdr:rowOff>114300</xdr:rowOff>
                  </from>
                  <to>
                    <xdr:col>14</xdr:col>
                    <xdr:colOff>7620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MENU</vt:lpstr>
      <vt:lpstr>SOLICITUDES</vt:lpstr>
      <vt:lpstr>CLIENTES</vt:lpstr>
      <vt:lpstr>INDUCCION</vt:lpstr>
      <vt:lpstr>PREVENTIVO</vt:lpstr>
      <vt:lpstr>EMPLEADOS</vt:lpstr>
      <vt:lpstr>FACTURA</vt:lpstr>
      <vt:lpstr>FACTURA!Área_de_impresión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53A_95141024850</dc:creator>
  <cp:lastModifiedBy>Edilberto Marquez</cp:lastModifiedBy>
  <cp:lastPrinted>2025-12-03T00:13:44Z</cp:lastPrinted>
  <dcterms:created xsi:type="dcterms:W3CDTF">2025-11-18T23:06:40Z</dcterms:created>
  <dcterms:modified xsi:type="dcterms:W3CDTF">2025-12-06T16:03:49Z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c111285-cafa-4fc9-8a9a-bd902089b24f_Enabled">
    <vt:lpwstr>true</vt:lpwstr>
  </property>
  <property fmtid="{D5CDD505-2E9C-101B-9397-08002B2CF9AE}" pid="3" name="MSIP_Label_fc111285-cafa-4fc9-8a9a-bd902089b24f_SetDate">
    <vt:lpwstr>2025-11-19T04:32:15Z</vt:lpwstr>
  </property>
  <property fmtid="{D5CDD505-2E9C-101B-9397-08002B2CF9AE}" pid="4" name="MSIP_Label_fc111285-cafa-4fc9-8a9a-bd902089b24f_Method">
    <vt:lpwstr>Privileged</vt:lpwstr>
  </property>
  <property fmtid="{D5CDD505-2E9C-101B-9397-08002B2CF9AE}" pid="5" name="MSIP_Label_fc111285-cafa-4fc9-8a9a-bd902089b24f_Name">
    <vt:lpwstr>Public</vt:lpwstr>
  </property>
  <property fmtid="{D5CDD505-2E9C-101B-9397-08002B2CF9AE}" pid="6" name="MSIP_Label_fc111285-cafa-4fc9-8a9a-bd902089b24f_SiteId">
    <vt:lpwstr>cbc2c381-2f2e-4d93-91d1-506c9316ace7</vt:lpwstr>
  </property>
  <property fmtid="{D5CDD505-2E9C-101B-9397-08002B2CF9AE}" pid="7" name="MSIP_Label_fc111285-cafa-4fc9-8a9a-bd902089b24f_ActionId">
    <vt:lpwstr>167bc543-1c5a-4c9a-ba92-3dc667e73724</vt:lpwstr>
  </property>
  <property fmtid="{D5CDD505-2E9C-101B-9397-08002B2CF9AE}" pid="8" name="MSIP_Label_fc111285-cafa-4fc9-8a9a-bd902089b24f_ContentBits">
    <vt:lpwstr>0</vt:lpwstr>
  </property>
  <property fmtid="{D5CDD505-2E9C-101B-9397-08002B2CF9AE}" pid="9" name="MSIP_Label_fc111285-cafa-4fc9-8a9a-bd902089b24f_Tag">
    <vt:lpwstr>10, 0, 1, 1</vt:lpwstr>
  </property>
</Properties>
</file>